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_UBER" state="visible" r:id="rId4"/>
    <sheet sheetId="2" name="DATA_BOLT" state="visible" r:id="rId5"/>
    <sheet sheetId="3" name="ANNUAIRE_FLOTTE" state="visible" r:id="rId6"/>
    <sheet sheetId="4" name="DASHBOARD_SEMAINE" state="visible" r:id="rId7"/>
    <sheet sheetId="5" name="EXPORT_QONTO" state="visible" r:id="rId8"/>
    <sheet sheetId="6" name="📁 S39 (21 au 27 Sept)" state="visible" r:id="rId9"/>
  </sheets>
  <calcPr calcId="171027"/>
</workbook>
</file>

<file path=xl/sharedStrings.xml><?xml version="1.0" encoding="utf-8"?>
<sst xmlns="http://schemas.openxmlformats.org/spreadsheetml/2006/main" count="2395" uniqueCount="554">
  <si>
    <t>Nom chauffeur Uber</t>
  </si>
  <si>
    <t>Prénom</t>
  </si>
  <si>
    <t>UUID Chauffeur</t>
  </si>
  <si>
    <t>Courses (D)</t>
  </si>
  <si>
    <t>Frais service Uber</t>
  </si>
  <si>
    <t>Péages (F)</t>
  </si>
  <si>
    <t>Pourboires (G)</t>
  </si>
  <si>
    <t>Remboursements</t>
  </si>
  <si>
    <t>Frais annulation</t>
  </si>
  <si>
    <t>Espèces collectées (J)</t>
  </si>
  <si>
    <t>Promotions / Bonus (K)</t>
  </si>
  <si>
    <t>Frais réservation Uber (L)</t>
  </si>
  <si>
    <t>Ajustements courses</t>
  </si>
  <si>
    <t>Déductions diverses</t>
  </si>
  <si>
    <t>Recharges</t>
  </si>
  <si>
    <t>Équipements</t>
  </si>
  <si>
    <t>Régularisations diverses</t>
  </si>
  <si>
    <t>Régularisations / Péages (R)</t>
  </si>
  <si>
    <t>Retenues fiscales</t>
  </si>
  <si>
    <t>Acomptes</t>
  </si>
  <si>
    <t>Autres déductions</t>
  </si>
  <si>
    <t>Montant brut</t>
  </si>
  <si>
    <t>Montant net</t>
  </si>
  <si>
    <t>Banque</t>
  </si>
  <si>
    <t>Date versement</t>
  </si>
  <si>
    <t>Virement Réel Uber (Z)</t>
  </si>
  <si>
    <t>SIRE CYRIL NIAKATE</t>
  </si>
  <si>
    <t>SIRE CYRIL</t>
  </si>
  <si>
    <t>983c63ed-2f31-43bd-b79f-b677ca5065fa</t>
  </si>
  <si>
    <t>QONTO</t>
  </si>
  <si>
    <t>2026-09-28</t>
  </si>
  <si>
    <t>Ramzi Khannoussi</t>
  </si>
  <si>
    <t>Ramzi</t>
  </si>
  <si>
    <t>7e6b9ac8-24f0-4325-902e-2631b16f1f54</t>
  </si>
  <si>
    <t>Ratiba Beldjoudi</t>
  </si>
  <si>
    <t>Ratiba</t>
  </si>
  <si>
    <t>e4157312-32c8-469d-b099-30f3b16cbe69</t>
  </si>
  <si>
    <t>Christopher Andrew Mongis</t>
  </si>
  <si>
    <t>Christopher Andrew</t>
  </si>
  <si>
    <t>2d271984-777e-4942-8f22-6c20d8d00036</t>
  </si>
  <si>
    <t>ZIAED HAMILA</t>
  </si>
  <si>
    <t>ZIAED</t>
  </si>
  <si>
    <t>c301c784-1c1d-44fd-8106-615e30556e7e</t>
  </si>
  <si>
    <t>MEHMET ERGUN</t>
  </si>
  <si>
    <t>MEHMET</t>
  </si>
  <si>
    <t>7ed4458a-eaaa-4e6d-98f6-24871c279a8a</t>
  </si>
  <si>
    <t>Abdelaziz Guerfi</t>
  </si>
  <si>
    <t>Abdelaziz</t>
  </si>
  <si>
    <t>a53484f4-ce4a-4cbb-9b3a-8652f25c1afa</t>
  </si>
  <si>
    <t>FAICAL JABRI</t>
  </si>
  <si>
    <t>FAICAL</t>
  </si>
  <si>
    <t>fa89767a-12bb-4a95-b1db-5fb71719a940</t>
  </si>
  <si>
    <t>Karim Sidibe</t>
  </si>
  <si>
    <t>Karim</t>
  </si>
  <si>
    <t>66310da7-a454-4902-ba89-dc1ea3fa89af</t>
  </si>
  <si>
    <t>JOVAN MILIC</t>
  </si>
  <si>
    <t>JOVAN</t>
  </si>
  <si>
    <t>ae172f19-9351-4176-9405-f691a5389f01</t>
  </si>
  <si>
    <t>Bechir Ben Smida</t>
  </si>
  <si>
    <t>Bechir</t>
  </si>
  <si>
    <t>a0e498bc-3c9b-4c82-bc49-18718ccca9f0</t>
  </si>
  <si>
    <t>Robert-Ionut Neagu</t>
  </si>
  <si>
    <t>Robert-Ionut</t>
  </si>
  <si>
    <t>ba779469-ba34-4105-ae7e-5da93a3217f9</t>
  </si>
  <si>
    <t>Mohamed El Khabazi</t>
  </si>
  <si>
    <t>Mohamed</t>
  </si>
  <si>
    <t>9501a412-f396-4d5e-80e6-05d9b3276311</t>
  </si>
  <si>
    <t>ABDOUL AZIZE MOHAMED SAFIR</t>
  </si>
  <si>
    <t>ABDOUL AZIZE</t>
  </si>
  <si>
    <t>c3bc3abe-643a-4431-ab51-8c06ede4b462</t>
  </si>
  <si>
    <t>ABDALLAH HAMZI</t>
  </si>
  <si>
    <t>ABDALLAH</t>
  </si>
  <si>
    <t>705b20fb-6418-46eb-b0cb-189185267480</t>
  </si>
  <si>
    <t>Sofiane Akli</t>
  </si>
  <si>
    <t>Sofiane</t>
  </si>
  <si>
    <t>aaab1c40-042f-4a3c-916b-e6b59e4c0f44</t>
  </si>
  <si>
    <t>Noureddine Tattouche</t>
  </si>
  <si>
    <t>Noureddine</t>
  </si>
  <si>
    <t>44575ef7-0936-445e-9dad-2325f7d54d1f</t>
  </si>
  <si>
    <t>Youcef Kherfouche</t>
  </si>
  <si>
    <t>Youcef</t>
  </si>
  <si>
    <t>4afc3041-1d5f-48ca-976b-6e56d4e71b8d</t>
  </si>
  <si>
    <t>MEHDI BOUCHNAG</t>
  </si>
  <si>
    <t>MEHDI</t>
  </si>
  <si>
    <t>8f960007-a5d4-4ab4-b73e-224304f9861f</t>
  </si>
  <si>
    <t>Imane Sarraj</t>
  </si>
  <si>
    <t>Imane</t>
  </si>
  <si>
    <t>9ee36418-ed86-45bf-ba00-67457101af89</t>
  </si>
  <si>
    <t>rachid CHINOUNE</t>
  </si>
  <si>
    <t>rachid</t>
  </si>
  <si>
    <t>bce74b3a-5d74-4cb9-ab0a-c6746f1ccdd8</t>
  </si>
  <si>
    <t>Alhassane Balde</t>
  </si>
  <si>
    <t>Alhassane</t>
  </si>
  <si>
    <t>167f8e07-ee2a-4923-99d6-0157c3f5011f</t>
  </si>
  <si>
    <t>YOUNOUSSA BAH</t>
  </si>
  <si>
    <t>YOUNOUSSA</t>
  </si>
  <si>
    <t>3adffadf-6d60-4a2f-a6e3-4ca3ffe3a72c</t>
  </si>
  <si>
    <t>ADEL BENABDELOUAHED</t>
  </si>
  <si>
    <t>ADEL</t>
  </si>
  <si>
    <t>581f0c82-a5b6-4157-9e93-37b2ad6f35e6</t>
  </si>
  <si>
    <t>MOHAMED FEHDI BEN-FEKIH</t>
  </si>
  <si>
    <t>MOHAMED FEHDI</t>
  </si>
  <si>
    <t>59899875-c5d2-40a1-996e-1277a84e76ed</t>
  </si>
  <si>
    <t>FATHIA BOUFALGHA</t>
  </si>
  <si>
    <t>FATHIA</t>
  </si>
  <si>
    <t>66cfb448-2a87-41ba-97f2-f0bb51b9b165</t>
  </si>
  <si>
    <t>Nom chauffeur Bolt</t>
  </si>
  <si>
    <t>Email</t>
  </si>
  <si>
    <t>Téléphone</t>
  </si>
  <si>
    <t>ID Bolt</t>
  </si>
  <si>
    <t>Brut Courses App (E)</t>
  </si>
  <si>
    <t>Brut Courses Autres (F)</t>
  </si>
  <si>
    <t>Espèces collectées chauffeur (G)</t>
  </si>
  <si>
    <t>Bonus campagnes (H)</t>
  </si>
  <si>
    <t>Compensations (I)</t>
  </si>
  <si>
    <t>Primes objectifs (J)</t>
  </si>
  <si>
    <t>Pourboires Bolt (K)</t>
  </si>
  <si>
    <t>Dédommagements (L)</t>
  </si>
  <si>
    <t>Péages (M)</t>
  </si>
  <si>
    <t>Frais annulation (N)</t>
  </si>
  <si>
    <t>Commission Bolt principale (O)</t>
  </si>
  <si>
    <t>Commission Bolt secondaire (P)</t>
  </si>
  <si>
    <t>Autres frais Bolt (Q)</t>
  </si>
  <si>
    <t>Régularisation commission (R)</t>
  </si>
  <si>
    <t>Remboursements clients (S)</t>
  </si>
  <si>
    <t>Frais attente (T)</t>
  </si>
  <si>
    <t>Ajustements manuels (U)</t>
  </si>
  <si>
    <t>Autres crédits 1 (V)</t>
  </si>
  <si>
    <t>Autres crédits 2 (W)</t>
  </si>
  <si>
    <t>Statut (X)</t>
  </si>
  <si>
    <t>Date relevé (Y)</t>
  </si>
  <si>
    <t>Virement Réel Bolt (Z)</t>
  </si>
  <si>
    <t>Abdoul Azize MOHAMED SAFIR</t>
  </si>
  <si>
    <t>abazizsafir.pro@gmail.com</t>
  </si>
  <si>
    <t>+33761529386</t>
  </si>
  <si>
    <t>69ca2620-9994-4a35-ae6d-8b03212f66a2</t>
  </si>
  <si>
    <t>Actif</t>
  </si>
  <si>
    <t>Adam Machtou</t>
  </si>
  <si>
    <t>machtou.adam@gmail.com</t>
  </si>
  <si>
    <t>+33618757203</t>
  </si>
  <si>
    <t>497378a6-59fb-4727-b3ab-22a1046a8e4b</t>
  </si>
  <si>
    <t>alh.balde05@gmail.com</t>
  </si>
  <si>
    <t>+33783639299</t>
  </si>
  <si>
    <t>3f20ff10-9e34-467e-ab69-3544493ade6d</t>
  </si>
  <si>
    <t>Ali Alouani</t>
  </si>
  <si>
    <t>ali.alouani.95@gmail.com</t>
  </si>
  <si>
    <t>+33618122054</t>
  </si>
  <si>
    <t>bcf5d87f-9b4c-46a1-95be-66a591f97483</t>
  </si>
  <si>
    <t>Ali Kara</t>
  </si>
  <si>
    <t>ali1978kara@hotmail.fr</t>
  </si>
  <si>
    <t>+33695644791</t>
  </si>
  <si>
    <t>307fd49a-f4c7-48c8-af8e-2b3005f3adc4</t>
  </si>
  <si>
    <t>Aymen Ltifi</t>
  </si>
  <si>
    <t>ltifiservices@outlook.com</t>
  </si>
  <si>
    <t>+33760731822</t>
  </si>
  <si>
    <t>b19b658d-d123-458b-8254-f36d57c2409d</t>
  </si>
  <si>
    <t>Bouchaïb Belkharras</t>
  </si>
  <si>
    <t>bouch.bb@hotmail.com</t>
  </si>
  <si>
    <t>+33658123002</t>
  </si>
  <si>
    <t>5c67fc93-d40b-4960-be79-cc7963c0937b</t>
  </si>
  <si>
    <t>Brandon Jean Jimmy Louissaint</t>
  </si>
  <si>
    <t>louissaintbrandon@hotmail.com</t>
  </si>
  <si>
    <t>+33635481157</t>
  </si>
  <si>
    <t>b60e6602-1052-41a1-9fc2-1affbf421ad9</t>
  </si>
  <si>
    <t>Elias Bihi</t>
  </si>
  <si>
    <t>Bihieliaspro@gmail.com</t>
  </si>
  <si>
    <t>+33749483638</t>
  </si>
  <si>
    <t>dd37da70-0511-47bd-8a81-849c6fd8cc04</t>
  </si>
  <si>
    <t>Foued Karoui</t>
  </si>
  <si>
    <t>karfoued@gmail.com</t>
  </si>
  <si>
    <t>+33625815497</t>
  </si>
  <si>
    <t>9a7fcf32-1038-4149-84ff-8d5b434d9b6a</t>
  </si>
  <si>
    <t>Hassene KHIARI</t>
  </si>
  <si>
    <t>hassenekhiari9@gmail.com</t>
  </si>
  <si>
    <t>+330616045890</t>
  </si>
  <si>
    <t>65e9fddf-6e9a-4982-a850-745818097338</t>
  </si>
  <si>
    <t>Haythem Dhifi</t>
  </si>
  <si>
    <t>dhifi.haythem.hd@gmail.com</t>
  </si>
  <si>
    <t>+33612674248</t>
  </si>
  <si>
    <t>4def7bfb-ffe0-4813-9f77-15f89b216145</t>
  </si>
  <si>
    <t>imane.sar2009@gmail.com</t>
  </si>
  <si>
    <t>+33658430022</t>
  </si>
  <si>
    <t>49d9129b-dd2d-4b0f-971b-39490f7c0451</t>
  </si>
  <si>
    <t>Issa Tandjigora</t>
  </si>
  <si>
    <t>Issasenypro@gmail.com</t>
  </si>
  <si>
    <t>+33638776237</t>
  </si>
  <si>
    <t>44f7c9dc-60cb-42f0-ae43-7f8cc5451d1a</t>
  </si>
  <si>
    <t>Jovan Milic</t>
  </si>
  <si>
    <t>Jovan93@outlook.fr</t>
  </si>
  <si>
    <t>+33695405086</t>
  </si>
  <si>
    <t>bdb7a477-87f6-4a90-86fa-3d2e0d6cfeae</t>
  </si>
  <si>
    <t>Khalid OKEIL</t>
  </si>
  <si>
    <t>khalidokeil@outlook.fr</t>
  </si>
  <si>
    <t>+33685369354</t>
  </si>
  <si>
    <t>23bd1cfa-7e1f-49a5-a59d-11bda6a265d8</t>
  </si>
  <si>
    <t>Mehdi Bouchnag</t>
  </si>
  <si>
    <t>Bouchnagmehdi@yahoo.fr</t>
  </si>
  <si>
    <t>+33623577818</t>
  </si>
  <si>
    <t>ece9069e-7c9b-423e-a22a-b7dd820e89e5</t>
  </si>
  <si>
    <t>Mehmet Ergun</t>
  </si>
  <si>
    <t>Mht.Egn1@icloud.com</t>
  </si>
  <si>
    <t>+33782313002</t>
  </si>
  <si>
    <t>6b7b564c-1974-400f-96e0-3085c947db1d</t>
  </si>
  <si>
    <t>Mohamed Aloui</t>
  </si>
  <si>
    <t>Fainflash@hotmail.com</t>
  </si>
  <si>
    <t>+33762769951</t>
  </si>
  <si>
    <t>8eae2da4-4c91-4c9a-9206-f562e658950e</t>
  </si>
  <si>
    <t>Mohamed Bayrem Allagui</t>
  </si>
  <si>
    <t>bayrouma18@gmail.com</t>
  </si>
  <si>
    <t>+33621478333</t>
  </si>
  <si>
    <t>00668859-ccfc-4665-b151-e6fc4ed1979d</t>
  </si>
  <si>
    <t>elkhabazimohamed1@gmail.com</t>
  </si>
  <si>
    <t>+33784678499</t>
  </si>
  <si>
    <t>9fe98d61-0076-4f65-ad5f-f056f0dd1f29</t>
  </si>
  <si>
    <t>Mohamed Fehdi Ben-Fekih</t>
  </si>
  <si>
    <t>mfbf@hotmail.fr</t>
  </si>
  <si>
    <t>+33662727924</t>
  </si>
  <si>
    <t>fca5781f-c0b3-482a-bf58-02be73f6017a</t>
  </si>
  <si>
    <t>Mohammed Adel benabdelouahed</t>
  </si>
  <si>
    <t>adelbenan@gmail.com</t>
  </si>
  <si>
    <t>+33782790937</t>
  </si>
  <si>
    <t>5ace70b0-cac9-41e8-97b3-c4011201eb1f</t>
  </si>
  <si>
    <t>Mourad Bouakkaz</t>
  </si>
  <si>
    <t>mbouakkaz874@hotmail.com</t>
  </si>
  <si>
    <t>+33699949546</t>
  </si>
  <si>
    <t>8e1debdd-5972-4c3d-b3f2-3afcd7647458</t>
  </si>
  <si>
    <t>Rachid Chinoune</t>
  </si>
  <si>
    <t>crtp2023@gmail.com</t>
  </si>
  <si>
    <t>+33619305126</t>
  </si>
  <si>
    <t>323c85eb-b81a-47d3-9685-8be693e6659a</t>
  </si>
  <si>
    <t>Raed Loghmari</t>
  </si>
  <si>
    <t>raed85@hotmail.fr</t>
  </si>
  <si>
    <t>+33652147683</t>
  </si>
  <si>
    <t>0a9213cd-a04f-46e4-b913-84d4ff071434</t>
  </si>
  <si>
    <t>ziram_k@yahoo.fr</t>
  </si>
  <si>
    <t>+33682163015</t>
  </si>
  <si>
    <t>5625333c-132d-4478-b114-a7f56933870f</t>
  </si>
  <si>
    <t>Ratiba GUESRI</t>
  </si>
  <si>
    <t>beldjoudilina@hotmail.fr</t>
  </si>
  <si>
    <t>+33695084256</t>
  </si>
  <si>
    <t>3bf88caf-533b-447b-9333-e2b50f31e0ec</t>
  </si>
  <si>
    <t>robertneagu44@gmail.com</t>
  </si>
  <si>
    <t>+33656859258</t>
  </si>
  <si>
    <t>9ea5bf84-292f-469c-af11-61c0ad7259ae</t>
  </si>
  <si>
    <t>Ryan Ouali Challab</t>
  </si>
  <si>
    <t>ryanchallab93600@gmail.com</t>
  </si>
  <si>
    <t>+33768419070</t>
  </si>
  <si>
    <t>9d93d037-2d49-4b6e-a6c1-9b091a67e36d</t>
  </si>
  <si>
    <t>SAMIR LAAZIBI</t>
  </si>
  <si>
    <t>laazibisamir@gmail.com</t>
  </si>
  <si>
    <t>+33661926124</t>
  </si>
  <si>
    <t>9f80841a-5b59-452d-9415-7c1fcb4165cb</t>
  </si>
  <si>
    <t>Siré Niakaté</t>
  </si>
  <si>
    <t>sireniakate71@gmail.com</t>
  </si>
  <si>
    <t>+33764005951</t>
  </si>
  <si>
    <t>8aafe327-651c-477c-8ffa-a41963c4abd9</t>
  </si>
  <si>
    <t>kherfoucheyoucef@gmail.com</t>
  </si>
  <si>
    <t>+33624707164</t>
  </si>
  <si>
    <t>2c5440f8-160f-4521-93d2-e267b5882641</t>
  </si>
  <si>
    <t>Zahia Guesri</t>
  </si>
  <si>
    <t>zaza.guess@hotmail.fr</t>
  </si>
  <si>
    <t>+33669354856</t>
  </si>
  <si>
    <t>1bc6be45-b3b0-4540-8823-d0ee2f286ebd</t>
  </si>
  <si>
    <t>Ziaed Hamila</t>
  </si>
  <si>
    <t>Teezere@outlook.fr</t>
  </si>
  <si>
    <t>+33650235792</t>
  </si>
  <si>
    <t>8831f293-8237-4e7e-9123-54811b9034bf</t>
  </si>
  <si>
    <t>N°</t>
  </si>
  <si>
    <t>Nom chauffeur</t>
  </si>
  <si>
    <t>Nom Uber (CSV)</t>
  </si>
  <si>
    <t>Nom Bolt (CSV)</t>
  </si>
  <si>
    <t>E-mail Uber</t>
  </si>
  <si>
    <t>E-mail Bolt</t>
  </si>
  <si>
    <t>Téléphone Uber</t>
  </si>
  <si>
    <t>Téléphone Bolt</t>
  </si>
  <si>
    <t>IBAN Qonto</t>
  </si>
  <si>
    <t>Forfait Rattachement (€)</t>
  </si>
  <si>
    <t>01</t>
  </si>
  <si>
    <t>Abdallah Hamzi</t>
  </si>
  <si>
    <t/>
  </si>
  <si>
    <t>hamzi.obayda@gmail.com</t>
  </si>
  <si>
    <t>+33624017099</t>
  </si>
  <si>
    <t>02</t>
  </si>
  <si>
    <t>Abdoul Azize Mohamed Safir</t>
  </si>
  <si>
    <t>03</t>
  </si>
  <si>
    <t>bsbm67@gmail.com</t>
  </si>
  <si>
    <t>+33762923919</t>
  </si>
  <si>
    <t>04</t>
  </si>
  <si>
    <t>Fathia Boufalgha</t>
  </si>
  <si>
    <t>titiprestige75@gmail.com</t>
  </si>
  <si>
    <t>+33759625661</t>
  </si>
  <si>
    <t>05</t>
  </si>
  <si>
    <t>rachidchinoune@yahoo.fr</t>
  </si>
  <si>
    <t>06</t>
  </si>
  <si>
    <t>Salah Fitouri</t>
  </si>
  <si>
    <t>Salih071@live.fr</t>
  </si>
  <si>
    <t>+33627393006</t>
  </si>
  <si>
    <t>07</t>
  </si>
  <si>
    <t>Bouchaib Belkharras</t>
  </si>
  <si>
    <t>belbouch92@gmail.com</t>
  </si>
  <si>
    <t>08</t>
  </si>
  <si>
    <t>BRANDON JEAN-JIMMY LOUISSAINT</t>
  </si>
  <si>
    <t>09</t>
  </si>
  <si>
    <t>Farid Adkhis</t>
  </si>
  <si>
    <t>Farid.adk@gmail.com</t>
  </si>
  <si>
    <t>+33651950695</t>
  </si>
  <si>
    <t>10</t>
  </si>
  <si>
    <t>11</t>
  </si>
  <si>
    <t>mht.egn1@icloud.com</t>
  </si>
  <si>
    <t>12</t>
  </si>
  <si>
    <t>MOHAMED ALOUi</t>
  </si>
  <si>
    <t>fainflash@hotmail.com</t>
  </si>
  <si>
    <t>13</t>
  </si>
  <si>
    <t>Omar Chemkhi</t>
  </si>
  <si>
    <t>omarchemkhioc@gmail.com</t>
  </si>
  <si>
    <t>+33783433834</t>
  </si>
  <si>
    <t>14</t>
  </si>
  <si>
    <t>Raoul Mansfeld Bemma</t>
  </si>
  <si>
    <t>raoulbemma0@gmail.com</t>
  </si>
  <si>
    <t>bemra@hotmail.fr</t>
  </si>
  <si>
    <t>+33672345507</t>
  </si>
  <si>
    <t>15</t>
  </si>
  <si>
    <t>amir2014bba@hotmail.com</t>
  </si>
  <si>
    <t>16</t>
  </si>
  <si>
    <t>c_zahwa@hotmail.com</t>
  </si>
  <si>
    <t>17</t>
  </si>
  <si>
    <t>Abdel Mouamane Chelaif</t>
  </si>
  <si>
    <t>Abdel Mouamane CHELAIF</t>
  </si>
  <si>
    <t>chelaifmoumen@gmail.com</t>
  </si>
  <si>
    <t>+33753606026</t>
  </si>
  <si>
    <t>18</t>
  </si>
  <si>
    <t>guerfiaziz75@gmail.com</t>
  </si>
  <si>
    <t>+33671648042</t>
  </si>
  <si>
    <t>19</t>
  </si>
  <si>
    <t>Abdullah Kartal</t>
  </si>
  <si>
    <t>abdullahkartal@outlook.fr</t>
  </si>
  <si>
    <t>+33782374844</t>
  </si>
  <si>
    <t>20</t>
  </si>
  <si>
    <t>Adam MACHTOU</t>
  </si>
  <si>
    <t>21</t>
  </si>
  <si>
    <t>Adel Benabdelouahed</t>
  </si>
  <si>
    <t>22</t>
  </si>
  <si>
    <t>Ahmed Kherfouche</t>
  </si>
  <si>
    <t>cena2309@hotmail.fr</t>
  </si>
  <si>
    <t>+33612943281</t>
  </si>
  <si>
    <t>23</t>
  </si>
  <si>
    <t>24</t>
  </si>
  <si>
    <t>25</t>
  </si>
  <si>
    <t>Asma Kissi</t>
  </si>
  <si>
    <t>ASMA KISSI</t>
  </si>
  <si>
    <t>kissiasma333@gmail.com</t>
  </si>
  <si>
    <t>+33626907046</t>
  </si>
  <si>
    <t>26</t>
  </si>
  <si>
    <t>27</t>
  </si>
  <si>
    <t>Bilel Bouhali</t>
  </si>
  <si>
    <t>thecompany2275@gmail.com</t>
  </si>
  <si>
    <t>+33743767400</t>
  </si>
  <si>
    <t>28</t>
  </si>
  <si>
    <t>Brahim Aloui</t>
  </si>
  <si>
    <t>brahim aloui</t>
  </si>
  <si>
    <t>alouibrahim@ymail.com</t>
  </si>
  <si>
    <t>+33624959758</t>
  </si>
  <si>
    <t>29</t>
  </si>
  <si>
    <t>Bryan Grégory Michaud</t>
  </si>
  <si>
    <t>Bryan Gregory Michaud</t>
  </si>
  <si>
    <t>bryan.michaud11@gmail.com</t>
  </si>
  <si>
    <t>+33783633084</t>
  </si>
  <si>
    <t>30</t>
  </si>
  <si>
    <t>mongis.christopher77@gmail.com</t>
  </si>
  <si>
    <t>+33605838100</t>
  </si>
  <si>
    <t>31</t>
  </si>
  <si>
    <t>Daba Gandega</t>
  </si>
  <si>
    <t>dg93240@hotmail.fr</t>
  </si>
  <si>
    <t>+33652830506</t>
  </si>
  <si>
    <t>32</t>
  </si>
  <si>
    <t>ELIAS BIHI</t>
  </si>
  <si>
    <t>bihieliaspro@gmail.com</t>
  </si>
  <si>
    <t>33</t>
  </si>
  <si>
    <t>Elias Hocine Abdellou</t>
  </si>
  <si>
    <t>ELIAS HOCINE ABDELLOU</t>
  </si>
  <si>
    <t>eabdellou92@gmail.com</t>
  </si>
  <si>
    <t>+33676966368</t>
  </si>
  <si>
    <t>34</t>
  </si>
  <si>
    <t>Faical Jabri</t>
  </si>
  <si>
    <t>faicaljabri@yahoo.fr</t>
  </si>
  <si>
    <t>+33625654846</t>
  </si>
  <si>
    <t>35</t>
  </si>
  <si>
    <t>FOUED KAROUI</t>
  </si>
  <si>
    <t>36</t>
  </si>
  <si>
    <t>Hassene Khiari</t>
  </si>
  <si>
    <t>le-solitaire@live.com</t>
  </si>
  <si>
    <t>+33616045890</t>
  </si>
  <si>
    <t>+33699048832</t>
  </si>
  <si>
    <t>37</t>
  </si>
  <si>
    <t>mizyen82@gmail.com</t>
  </si>
  <si>
    <t>38</t>
  </si>
  <si>
    <t>Helton Jose Coelho Da Veiga</t>
  </si>
  <si>
    <t>Hélton José Coelho Da Veiga</t>
  </si>
  <si>
    <t>heltondaveiga2014@gmail.com</t>
  </si>
  <si>
    <t>+33619098335</t>
  </si>
  <si>
    <t>39</t>
  </si>
  <si>
    <t>ISSA TANDJIGORA</t>
  </si>
  <si>
    <t>issasenypro@gmail.com</t>
  </si>
  <si>
    <t>+33651962203</t>
  </si>
  <si>
    <t>40</t>
  </si>
  <si>
    <t>Jalel Sehili</t>
  </si>
  <si>
    <t>jsehili@sfr.fr</t>
  </si>
  <si>
    <t>+33621066584</t>
  </si>
  <si>
    <t>41</t>
  </si>
  <si>
    <t>jovan93@outlook.fr</t>
  </si>
  <si>
    <t>42</t>
  </si>
  <si>
    <t>Kamel Kebli</t>
  </si>
  <si>
    <t>k.kebli@outlook.fr</t>
  </si>
  <si>
    <t>+33605882286</t>
  </si>
  <si>
    <t>43</t>
  </si>
  <si>
    <t>karimsidibe18@outlook.fr</t>
  </si>
  <si>
    <t>+33625270201</t>
  </si>
  <si>
    <t>44</t>
  </si>
  <si>
    <t>Khaled Kebli</t>
  </si>
  <si>
    <t>kh.kebli@hotmail.com</t>
  </si>
  <si>
    <t>Kh.kebli@hotmail.com</t>
  </si>
  <si>
    <t>+33765512904</t>
  </si>
  <si>
    <t>45</t>
  </si>
  <si>
    <t>Khalid Okeil</t>
  </si>
  <si>
    <t>46</t>
  </si>
  <si>
    <t>bouchnagmehdi@yahoo.fr</t>
  </si>
  <si>
    <t>47</t>
  </si>
  <si>
    <t>Merouane Remam</t>
  </si>
  <si>
    <t>Merouane REMAM</t>
  </si>
  <si>
    <t>merouane.rema@gmail.com</t>
  </si>
  <si>
    <t>Midoremam@hotmail.com</t>
  </si>
  <si>
    <t>+33656847648</t>
  </si>
  <si>
    <t>48</t>
  </si>
  <si>
    <t>Mohamed-Bayrem ALLAGUI</t>
  </si>
  <si>
    <t>allaguimohamedbayrem@gmail.com</t>
  </si>
  <si>
    <t>49</t>
  </si>
  <si>
    <t>Mohamed Bouali</t>
  </si>
  <si>
    <t>MOHAMED BOUALI</t>
  </si>
  <si>
    <t>bouali75med@gmail.com</t>
  </si>
  <si>
    <t>+33751079527</t>
  </si>
  <si>
    <t>50</t>
  </si>
  <si>
    <t>51</t>
  </si>
  <si>
    <t>52</t>
  </si>
  <si>
    <t>53</t>
  </si>
  <si>
    <t>tattouche.noureddine@yahoo.com</t>
  </si>
  <si>
    <t>+33675941291</t>
  </si>
  <si>
    <t>54</t>
  </si>
  <si>
    <t>Ousmane Sylla</t>
  </si>
  <si>
    <t>OUSMANE SYLLA</t>
  </si>
  <si>
    <t>m.sylla.ousmane@gmail.com</t>
  </si>
  <si>
    <t>+33756909610</t>
  </si>
  <si>
    <t>55</t>
  </si>
  <si>
    <t>raedloghmari95@gmail.com</t>
  </si>
  <si>
    <t>56</t>
  </si>
  <si>
    <t>mrdriverparis@gmail.com</t>
  </si>
  <si>
    <t>57</t>
  </si>
  <si>
    <t>robertneagu76@gmail.com</t>
  </si>
  <si>
    <t>+33660198093</t>
  </si>
  <si>
    <t>58</t>
  </si>
  <si>
    <t>Ryan Challab</t>
  </si>
  <si>
    <t>59</t>
  </si>
  <si>
    <t>Sadibou Diatta</t>
  </si>
  <si>
    <t>sadiboudiatta27@gmail.com</t>
  </si>
  <si>
    <t>+33650952956</t>
  </si>
  <si>
    <t>60</t>
  </si>
  <si>
    <t>Samir Laazibi</t>
  </si>
  <si>
    <t>abenbourahla84@gmail.com</t>
  </si>
  <si>
    <t>61</t>
  </si>
  <si>
    <t>Siré Cyril Niakaté</t>
  </si>
  <si>
    <t>sireniakate@msn.com</t>
  </si>
  <si>
    <t>+33614251414</t>
  </si>
  <si>
    <t>FR7630006000010000000000189</t>
  </si>
  <si>
    <t>62</t>
  </si>
  <si>
    <t>sofiane.uber14@hotmail.com</t>
  </si>
  <si>
    <t>sofiane.akli@hotmail.com</t>
  </si>
  <si>
    <t>+33666617828</t>
  </si>
  <si>
    <t>+3300000000</t>
  </si>
  <si>
    <t>63</t>
  </si>
  <si>
    <t>Souleymane Sokhona</t>
  </si>
  <si>
    <t>ssokhona42@gmail.com</t>
  </si>
  <si>
    <t>+33769507901</t>
  </si>
  <si>
    <t>64</t>
  </si>
  <si>
    <t>65</t>
  </si>
  <si>
    <t>Younoussa Bah</t>
  </si>
  <si>
    <t>thiernomamadou24@yahoo.com</t>
  </si>
  <si>
    <t>+33605679771</t>
  </si>
  <si>
    <t>66</t>
  </si>
  <si>
    <t>teezere@outlook.fr</t>
  </si>
  <si>
    <t>67</t>
  </si>
  <si>
    <t>68</t>
  </si>
  <si>
    <t>Stephane Kouassi</t>
  </si>
  <si>
    <t>Stéphane Kouassi</t>
  </si>
  <si>
    <t>kscga@outlook.fr</t>
  </si>
  <si>
    <t>koffivillepinte@gmail.com</t>
  </si>
  <si>
    <t>+33601360917</t>
  </si>
  <si>
    <t>69</t>
  </si>
  <si>
    <t>Rayen Klai</t>
  </si>
  <si>
    <t>vtc93600@gmail.com</t>
  </si>
  <si>
    <t>rayenvtc@outlook.fr</t>
  </si>
  <si>
    <t>+33766007929</t>
  </si>
  <si>
    <t>+33766833146</t>
  </si>
  <si>
    <t>70</t>
  </si>
  <si>
    <t>Yahia Zemani</t>
  </si>
  <si>
    <t>zemaservices37@gmail.com</t>
  </si>
  <si>
    <t>+33641128055</t>
  </si>
  <si>
    <t>71</t>
  </si>
  <si>
    <t>Hasan Emin Coskun</t>
  </si>
  <si>
    <t>hasanemincoskun@outlook.fr</t>
  </si>
  <si>
    <t>+33652092796</t>
  </si>
  <si>
    <t>72</t>
  </si>
  <si>
    <t>Raphaël Ernest Amié Vimond</t>
  </si>
  <si>
    <t>raphael.vimond@gmail.com</t>
  </si>
  <si>
    <t>+33600000072</t>
  </si>
  <si>
    <t>FLEET OS — TABLEAU DE BORD HEBDOMADAIRE (SEMAINE DU 21 AU 27 SEPTEMBRE 2026)</t>
  </si>
  <si>
    <t>Conciliation Automatique Multi-Plateformes (Uber &amp; Bolt) • 69 Chauffeurs • Rétrocession SEPA Qonto</t>
  </si>
  <si>
    <t>TOTAL RÉEL ENCAISSÉ (UBER+BOLT)</t>
  </si>
  <si>
    <t>SUIVI ESPÈCES TOTALES (UBER+BOLT)</t>
  </si>
  <si>
    <t>REVENUS RATTACHEMENT FLOTTE</t>
  </si>
  <si>
    <t>TOTAL NET À VIRER (QONTO)</t>
  </si>
  <si>
    <t>👤 IDENTITÉ DU CHAUFFEUR</t>
  </si>
  <si>
    <t>🔗 IDENTIFIANTS PLATEFORMES</t>
  </si>
  <si>
    <t>📞 CONTACT &amp; COORDONNÉES</t>
  </si>
  <si>
    <t>⚫ PRODUCTION UBER (€)</t>
  </si>
  <si>
    <t>🟢 PRODUCTION BOLT (€)</t>
  </si>
  <si>
    <t>💰 TOTAL ENCAISSÉ (€)</t>
  </si>
  <si>
    <t>⚙️ ARBITRAGES FLOTTE (€)</t>
  </si>
  <si>
    <t>🏦 CASE VIREMENT NET (€)</t>
  </si>
  <si>
    <t>💳 IBAN QONTO</t>
  </si>
  <si>
    <t>Nom Prénom (Chauffeur)</t>
  </si>
  <si>
    <t>Nom Uber</t>
  </si>
  <si>
    <t>Nom Bolt</t>
  </si>
  <si>
    <t>Mail Uber</t>
  </si>
  <si>
    <t>Mail Bolt</t>
  </si>
  <si>
    <t>Tél. Uber</t>
  </si>
  <si>
    <t>Tél. Bolt</t>
  </si>
  <si>
    <t>Virement Réel Uber (€)</t>
  </si>
  <si>
    <t>Espèces Uber (€)</t>
  </si>
  <si>
    <t>Virement Réel Bolt (€)</t>
  </si>
  <si>
    <t>Espèces Bolt (€)</t>
  </si>
  <si>
    <t>Total Réel Encaissé (Uber + Bolt) (€)</t>
  </si>
  <si>
    <t>Rattachement (€)</t>
  </si>
  <si>
    <t>Charges (€)</t>
  </si>
  <si>
    <t>Bonus (€)</t>
  </si>
  <si>
    <t>Malus (€)</t>
  </si>
  <si>
    <t>CASE VIREMENT (NET À ENVOYER) (€)</t>
  </si>
  <si>
    <t>RIB / IBAN (QONTO)</t>
  </si>
  <si>
    <t>TOTAL CONSOLIDÉ SEMAINE (FLOTTE)</t>
  </si>
  <si>
    <t>beneficiary_name</t>
  </si>
  <si>
    <t>iban</t>
  </si>
  <si>
    <t>amount</t>
  </si>
  <si>
    <t>currency</t>
  </si>
  <si>
    <t>reference</t>
  </si>
  <si>
    <t>FLEET OS — ARCHIVE OFFICIELLE SEMAINE 39 (69 CHAUFFEURS)</t>
  </si>
  <si>
    <t>Archive Figée — Période travaillée : 21 au 27 Septembre 2026 • Virement bancaire Qonto exécuté le : 28/09/2026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</si>
</sst>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26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065F46"/>
      <sz val="10"/>
      <name val="Segoe UI"/>
    </font>
    <font>
      <b/>
      <color rgb="FF0F172A"/>
      <sz val="10"/>
      <name val="Segoe UI"/>
    </font>
    <font>
      <color rgb="FF0F172A"/>
      <sz val="10"/>
      <name val="Consolas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1E40AF"/>
      <sz val="9"/>
      <name val="Segoe UI"/>
    </font>
    <font>
      <b/>
      <color rgb="FF92400E"/>
      <sz val="9"/>
      <name val="Segoe UI"/>
    </font>
    <font>
      <b/>
      <color rgb="FF5B21B6"/>
      <sz val="9"/>
      <name val="Segoe UI"/>
    </font>
    <font>
      <b/>
      <color rgb="FF065F46"/>
      <sz val="9"/>
      <name val="Segoe UI"/>
    </font>
    <font>
      <b/>
      <color rgb="FF1E3A8A"/>
      <sz val="16"/>
      <name val="Segoe UI"/>
    </font>
    <font>
      <b/>
      <color rgb="FFB45309"/>
      <sz val="16"/>
      <name val="Segoe UI"/>
    </font>
    <font>
      <b/>
      <color rgb="FF4C1D95"/>
      <sz val="16"/>
      <name val="Segoe UI"/>
    </font>
    <font>
      <b/>
      <color rgb="FF047857"/>
      <sz val="16"/>
      <name val="Segoe UI"/>
    </font>
    <font>
      <b/>
      <color rgb="FFFFFFFF"/>
      <sz val="9"/>
      <name val="Segoe UI"/>
    </font>
    <font>
      <b/>
      <color rgb="FFFEF08A"/>
      <sz val="9"/>
      <name val="Segoe UI"/>
    </font>
    <font>
      <color rgb="FF475569"/>
      <sz val="9.5"/>
      <name val="Segoe UI"/>
    </font>
    <font>
      <b/>
      <color rgb="FFB45309"/>
      <sz val="10"/>
      <name val="Segoe UI"/>
    </font>
    <font>
      <b/>
      <color rgb="FFDC2626"/>
      <sz val="11"/>
      <name val="Segoe UI"/>
    </font>
    <font>
      <b/>
      <color rgb="FF047857"/>
      <sz val="11"/>
      <name val="Segoe UI"/>
    </font>
    <font>
      <b/>
      <color rgb="FF64748B"/>
      <sz val="11"/>
      <name val="Segoe UI"/>
    </font>
    <font>
      <b/>
      <color rgb="FF047857"/>
      <sz val="10"/>
      <name val="Consolas"/>
    </font>
    <font>
      <b/>
      <color rgb="FFFFFFFF"/>
      <sz val="11"/>
      <name val="Segoe UI"/>
    </font>
    <font>
      <b/>
      <color rgb="FFB45309"/>
      <sz val="11"/>
      <name val="Segoe UI"/>
    </font>
    <font>
      <b/>
      <sz val="10"/>
      <name val="Segoe UI"/>
    </font>
  </fonts>
  <fills count="24">
    <fill>
      <patternFill patternType="none"/>
    </fill>
    <fill>
      <patternFill patternType="gray125"/>
    </fill>
    <fill>
      <patternFill patternType="solid">
        <fgColor rgb="FF18181B"/>
      </patternFill>
    </fill>
    <fill>
      <patternFill patternType="solid">
        <fgColor rgb="FF059669"/>
      </patternFill>
    </fill>
    <fill>
      <patternFill patternType="solid">
        <fgColor rgb="FFECFDF5"/>
      </patternFill>
    </fill>
    <fill>
      <patternFill patternType="solid">
        <fgColor rgb="FF16A34A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334155"/>
      </patternFill>
    </fill>
    <fill>
      <patternFill patternType="solid">
        <fgColor rgb="FF15803D"/>
      </patternFill>
    </fill>
    <fill>
      <patternFill patternType="solid">
        <fgColor rgb="FF0E7490"/>
      </patternFill>
    </fill>
    <fill>
      <patternFill patternType="solid">
        <fgColor rgb="FFB45309"/>
      </patternFill>
    </fill>
    <fill>
      <patternFill patternType="solid">
        <fgColor rgb="FF047857"/>
      </patternFill>
    </fill>
    <fill>
      <patternFill patternType="solid">
        <fgColor rgb="FF4F46E5"/>
      </patternFill>
    </fill>
    <fill>
      <patternFill patternType="solid">
        <fgColor rgb="FF27272A"/>
      </patternFill>
    </fill>
    <fill>
      <patternFill patternType="solid">
        <fgColor rgb="FF14532D"/>
      </patternFill>
    </fill>
    <fill>
      <patternFill patternType="solid">
        <fgColor rgb="FF0F766E"/>
      </patternFill>
    </fill>
    <fill>
      <patternFill patternType="solid">
        <fgColor rgb="FFFEE2E2"/>
      </patternFill>
    </fill>
    <fill>
      <patternFill patternType="solid">
        <fgColor rgb="FF47556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2" fillId="4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49" fontId="0" fillId="7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left" vertical="center" indent="1"/>
    </xf>
    <xf numFmtId="0" fontId="6" fillId="9" borderId="0" xfId="0" applyFont="1" applyFill="1" applyAlignment="1">
      <alignment horizontal="left" vertical="center" indent="1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/>
    </xf>
    <xf numFmtId="49" fontId="17" fillId="7" borderId="1" xfId="0" applyNumberFormat="1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4" fontId="19" fillId="22" borderId="1" xfId="0" applyNumberFormat="1" applyFont="1" applyFill="1" applyBorder="1" applyAlignment="1">
      <alignment horizontal="right" vertical="center"/>
    </xf>
    <xf numFmtId="0" fontId="17" fillId="8" borderId="1" xfId="0" applyFont="1" applyFill="1" applyBorder="1" applyAlignment="1">
      <alignment horizontal="left" vertical="center"/>
    </xf>
    <xf numFmtId="49" fontId="17" fillId="8" borderId="1" xfId="0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right" vertical="center"/>
    </xf>
    <xf numFmtId="164" fontId="20" fillId="4" borderId="1" xfId="0" applyNumberFormat="1" applyFont="1" applyFill="1" applyBorder="1" applyAlignment="1">
      <alignment horizontal="right" vertical="center"/>
    </xf>
    <xf numFmtId="164" fontId="21" fillId="8" borderId="1" xfId="0" applyNumberFormat="1" applyFont="1" applyFill="1" applyBorder="1" applyAlignment="1">
      <alignment horizontal="right" vertical="center"/>
    </xf>
    <xf numFmtId="164" fontId="21" fillId="7" borderId="1" xfId="0" applyNumberFormat="1" applyFont="1" applyFill="1" applyBorder="1" applyAlignment="1">
      <alignment horizontal="right" vertical="center"/>
    </xf>
    <xf numFmtId="0" fontId="22" fillId="7" borderId="1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right" vertical="center" indent="1"/>
    </xf>
    <xf numFmtId="164" fontId="23" fillId="9" borderId="2" xfId="0" applyNumberFormat="1" applyFont="1" applyFill="1" applyBorder="1" applyAlignment="1">
      <alignment horizontal="right" vertical="center"/>
    </xf>
    <xf numFmtId="164" fontId="24" fillId="11" borderId="2" xfId="0" applyNumberFormat="1" applyFont="1" applyFill="1" applyBorder="1" applyAlignment="1">
      <alignment horizontal="right" vertical="center"/>
    </xf>
    <xf numFmtId="164" fontId="20" fillId="4" borderId="2" xfId="0" applyNumberFormat="1" applyFont="1" applyFill="1" applyBorder="1" applyAlignment="1">
      <alignment horizontal="right" vertical="center"/>
    </xf>
    <xf numFmtId="0" fontId="0" fillId="6" borderId="2" xfId="0" applyFill="1" applyBorder="1"/>
    <xf numFmtId="0" fontId="1" fillId="18" borderId="1" xfId="0" applyFont="1" applyFill="1" applyBorder="1" applyAlignment="1">
      <alignment horizontal="center" vertical="center"/>
    </xf>
    <xf numFmtId="0" fontId="25" fillId="0" borderId="1" xfId="0" applyFont="1" applyBorder="1"/>
    <xf numFmtId="0" fontId="4" fillId="0" borderId="1" xfId="0" applyFont="1" applyBorder="1"/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/>
    <xf numFmtId="0" fontId="5" fillId="23" borderId="0" xfId="0" applyFont="1" applyFill="1" applyAlignment="1">
      <alignment horizontal="left" vertical="center" indent="1"/>
    </xf>
    <xf numFmtId="0" fontId="6" fillId="1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/>
  </sheetViews>
  <sheetFormatPr defaultRowHeight="15" outlineLevelRow="0" outlineLevelCol="0" x14ac:dyDescent="55"/>
  <cols>
    <col min="1" max="1" width="28" customWidth="1"/>
    <col min="2" max="25" width="16" customWidth="1"/>
    <col min="26" max="26" width="24" customWidth="1"/>
  </cols>
  <sheetData>
    <row r="1" ht="2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ht="22" customHeight="1" spans="1:26" x14ac:dyDescent="0.25">
      <c r="A2" s="3" t="s">
        <v>26</v>
      </c>
      <c r="B2" s="3" t="s">
        <v>27</v>
      </c>
      <c r="C2" s="3" t="s">
        <v>28</v>
      </c>
      <c r="D2" s="4">
        <v>51.73</v>
      </c>
      <c r="E2" s="3">
        <v>0</v>
      </c>
      <c r="F2" s="4">
        <v>0</v>
      </c>
      <c r="G2" s="4">
        <v>0.89</v>
      </c>
      <c r="H2" s="3">
        <v>0</v>
      </c>
      <c r="I2" s="3">
        <v>0</v>
      </c>
      <c r="J2" s="4">
        <v>0</v>
      </c>
      <c r="K2" s="4">
        <v>1.19</v>
      </c>
      <c r="L2" s="4">
        <v>0.04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v>0</v>
      </c>
      <c r="S2" s="3">
        <v>0</v>
      </c>
      <c r="T2" s="3">
        <v>0</v>
      </c>
      <c r="U2" s="3">
        <v>0</v>
      </c>
      <c r="V2" s="4">
        <v>53.81</v>
      </c>
      <c r="W2" s="4">
        <v>53.77</v>
      </c>
      <c r="X2" s="3" t="s">
        <v>29</v>
      </c>
      <c r="Y2" s="3" t="s">
        <v>30</v>
      </c>
      <c r="Z2" s="5">
        <f>IF(A2="", "", (D2+G2+K2+R2) - ABS(J2) - ABS(L2))</f>
        <v>53.77</v>
      </c>
    </row>
    <row r="3" ht="22" customHeight="1" spans="1:26" x14ac:dyDescent="0.25">
      <c r="A3" s="3" t="s">
        <v>31</v>
      </c>
      <c r="B3" s="3" t="s">
        <v>32</v>
      </c>
      <c r="C3" s="3" t="s">
        <v>33</v>
      </c>
      <c r="D3" s="4">
        <v>34.07</v>
      </c>
      <c r="E3" s="3">
        <v>0</v>
      </c>
      <c r="F3" s="4">
        <v>0</v>
      </c>
      <c r="G3" s="4">
        <v>0</v>
      </c>
      <c r="H3" s="3">
        <v>0</v>
      </c>
      <c r="I3" s="3">
        <v>0</v>
      </c>
      <c r="J3" s="4">
        <v>12.95</v>
      </c>
      <c r="K3" s="4">
        <v>0</v>
      </c>
      <c r="L3" s="4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v>0</v>
      </c>
      <c r="S3" s="3">
        <v>0</v>
      </c>
      <c r="T3" s="3">
        <v>0</v>
      </c>
      <c r="U3" s="3">
        <v>0</v>
      </c>
      <c r="V3" s="4">
        <v>34.07</v>
      </c>
      <c r="W3" s="4">
        <v>21.12</v>
      </c>
      <c r="X3" s="3" t="s">
        <v>29</v>
      </c>
      <c r="Y3" s="3" t="s">
        <v>30</v>
      </c>
      <c r="Z3" s="5">
        <f>IF(A3="", "", (D3+G3+K3+R3) - ABS(J3) - ABS(L3))</f>
        <v>21.12</v>
      </c>
    </row>
    <row r="4" ht="22" customHeight="1" spans="1:26" x14ac:dyDescent="0.25">
      <c r="A4" s="3" t="s">
        <v>34</v>
      </c>
      <c r="B4" s="3" t="s">
        <v>35</v>
      </c>
      <c r="C4" s="3" t="s">
        <v>36</v>
      </c>
      <c r="D4" s="4">
        <v>9</v>
      </c>
      <c r="E4" s="3">
        <v>0</v>
      </c>
      <c r="F4" s="4">
        <v>0</v>
      </c>
      <c r="G4" s="4">
        <v>0</v>
      </c>
      <c r="H4" s="3">
        <v>0</v>
      </c>
      <c r="I4" s="3">
        <v>0</v>
      </c>
      <c r="J4" s="4">
        <v>0</v>
      </c>
      <c r="K4" s="4">
        <v>0.28</v>
      </c>
      <c r="L4" s="4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0</v>
      </c>
      <c r="S4" s="3">
        <v>0</v>
      </c>
      <c r="T4" s="3">
        <v>0</v>
      </c>
      <c r="U4" s="3">
        <v>0</v>
      </c>
      <c r="V4" s="4">
        <v>9.28</v>
      </c>
      <c r="W4" s="4">
        <v>9.28</v>
      </c>
      <c r="X4" s="3" t="s">
        <v>29</v>
      </c>
      <c r="Y4" s="3" t="s">
        <v>30</v>
      </c>
      <c r="Z4" s="5">
        <f>IF(A4="", "", (D4+G4+K4+R4) - ABS(J4) - ABS(L4))</f>
        <v>9.28</v>
      </c>
    </row>
    <row r="5" ht="22" customHeight="1" spans="1:26" x14ac:dyDescent="0.25">
      <c r="A5" s="3" t="s">
        <v>37</v>
      </c>
      <c r="B5" s="3" t="s">
        <v>38</v>
      </c>
      <c r="C5" s="3" t="s">
        <v>39</v>
      </c>
      <c r="D5" s="4">
        <v>220.64</v>
      </c>
      <c r="E5" s="3">
        <v>0</v>
      </c>
      <c r="F5" s="4">
        <v>0</v>
      </c>
      <c r="G5" s="4">
        <v>2</v>
      </c>
      <c r="H5" s="3">
        <v>0</v>
      </c>
      <c r="I5" s="3">
        <v>0</v>
      </c>
      <c r="J5" s="4">
        <v>43.98</v>
      </c>
      <c r="K5" s="4">
        <v>1.45</v>
      </c>
      <c r="L5" s="4">
        <v>0.12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0</v>
      </c>
      <c r="S5" s="3">
        <v>0</v>
      </c>
      <c r="T5" s="3">
        <v>0</v>
      </c>
      <c r="U5" s="3">
        <v>0</v>
      </c>
      <c r="V5" s="4">
        <v>224.09</v>
      </c>
      <c r="W5" s="4">
        <v>179.99</v>
      </c>
      <c r="X5" s="3" t="s">
        <v>29</v>
      </c>
      <c r="Y5" s="3" t="s">
        <v>30</v>
      </c>
      <c r="Z5" s="5">
        <f>IF(A5="", "", (D5+G5+K5+R5) - ABS(J5) - ABS(L5))</f>
        <v>179.99</v>
      </c>
    </row>
    <row r="6" ht="22" customHeight="1" spans="1:26" x14ac:dyDescent="0.25">
      <c r="A6" s="3" t="s">
        <v>40</v>
      </c>
      <c r="B6" s="3" t="s">
        <v>41</v>
      </c>
      <c r="C6" s="3" t="s">
        <v>42</v>
      </c>
      <c r="D6" s="4">
        <v>54</v>
      </c>
      <c r="E6" s="3">
        <v>0</v>
      </c>
      <c r="F6" s="4">
        <v>0</v>
      </c>
      <c r="G6" s="4">
        <v>5</v>
      </c>
      <c r="H6" s="3">
        <v>0</v>
      </c>
      <c r="I6" s="3">
        <v>0</v>
      </c>
      <c r="J6" s="4">
        <v>0</v>
      </c>
      <c r="K6" s="4">
        <v>0</v>
      </c>
      <c r="L6" s="4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4">
        <v>59</v>
      </c>
      <c r="W6" s="4">
        <v>59</v>
      </c>
      <c r="X6" s="3" t="s">
        <v>29</v>
      </c>
      <c r="Y6" s="3" t="s">
        <v>30</v>
      </c>
      <c r="Z6" s="5">
        <f>IF(A6="", "", (D6+G6+K6+R6) - ABS(J6) - ABS(L6))</f>
        <v>59</v>
      </c>
    </row>
    <row r="7" ht="22" customHeight="1" spans="1:26" x14ac:dyDescent="0.25">
      <c r="A7" s="3" t="s">
        <v>43</v>
      </c>
      <c r="B7" s="3" t="s">
        <v>44</v>
      </c>
      <c r="C7" s="3" t="s">
        <v>45</v>
      </c>
      <c r="D7" s="4">
        <v>44.25</v>
      </c>
      <c r="E7" s="3">
        <v>0</v>
      </c>
      <c r="F7" s="4">
        <v>0</v>
      </c>
      <c r="G7" s="4">
        <v>0</v>
      </c>
      <c r="H7" s="3">
        <v>0</v>
      </c>
      <c r="I7" s="3">
        <v>0</v>
      </c>
      <c r="J7" s="4">
        <v>0</v>
      </c>
      <c r="K7" s="4">
        <v>0.18</v>
      </c>
      <c r="L7" s="4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0</v>
      </c>
      <c r="S7" s="3">
        <v>0</v>
      </c>
      <c r="T7" s="3">
        <v>0</v>
      </c>
      <c r="U7" s="3">
        <v>0</v>
      </c>
      <c r="V7" s="4">
        <v>44.43</v>
      </c>
      <c r="W7" s="4">
        <v>44.43</v>
      </c>
      <c r="X7" s="3" t="s">
        <v>29</v>
      </c>
      <c r="Y7" s="3" t="s">
        <v>30</v>
      </c>
      <c r="Z7" s="5">
        <f>IF(A7="", "", (D7+G7+K7+R7) - ABS(J7) - ABS(L7))</f>
        <v>44.43</v>
      </c>
    </row>
    <row r="8" ht="22" customHeight="1" spans="1:26" x14ac:dyDescent="0.25">
      <c r="A8" s="3" t="s">
        <v>46</v>
      </c>
      <c r="B8" s="3" t="s">
        <v>47</v>
      </c>
      <c r="C8" s="3" t="s">
        <v>48</v>
      </c>
      <c r="D8" s="4">
        <v>216.08</v>
      </c>
      <c r="E8" s="3">
        <v>0</v>
      </c>
      <c r="F8" s="4">
        <v>0</v>
      </c>
      <c r="G8" s="4">
        <v>5</v>
      </c>
      <c r="H8" s="3">
        <v>0</v>
      </c>
      <c r="I8" s="3">
        <v>0</v>
      </c>
      <c r="J8" s="4">
        <v>50.95</v>
      </c>
      <c r="K8" s="4">
        <v>0</v>
      </c>
      <c r="L8" s="4">
        <v>0.04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221.08</v>
      </c>
      <c r="W8" s="4">
        <v>170.09</v>
      </c>
      <c r="X8" s="3" t="s">
        <v>29</v>
      </c>
      <c r="Y8" s="3" t="s">
        <v>30</v>
      </c>
      <c r="Z8" s="5">
        <f>IF(A8="", "", (D8+G8+K8+R8) - ABS(J8) - ABS(L8))</f>
        <v>170.09</v>
      </c>
    </row>
    <row r="9" ht="22" customHeight="1" spans="1:26" x14ac:dyDescent="0.25">
      <c r="A9" s="3" t="s">
        <v>49</v>
      </c>
      <c r="B9" s="3" t="s">
        <v>50</v>
      </c>
      <c r="C9" s="3" t="s">
        <v>51</v>
      </c>
      <c r="D9" s="4">
        <v>183.79</v>
      </c>
      <c r="E9" s="3">
        <v>0</v>
      </c>
      <c r="F9" s="4">
        <v>0</v>
      </c>
      <c r="G9" s="4">
        <v>2</v>
      </c>
      <c r="H9" s="3">
        <v>0</v>
      </c>
      <c r="I9" s="3">
        <v>0</v>
      </c>
      <c r="J9" s="4">
        <v>29.9</v>
      </c>
      <c r="K9" s="4">
        <v>1.6</v>
      </c>
      <c r="L9" s="4">
        <v>0.12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0</v>
      </c>
      <c r="S9" s="3">
        <v>0</v>
      </c>
      <c r="T9" s="3">
        <v>0</v>
      </c>
      <c r="U9" s="3">
        <v>0</v>
      </c>
      <c r="V9" s="4">
        <v>187.39</v>
      </c>
      <c r="W9" s="4">
        <v>157.37</v>
      </c>
      <c r="X9" s="3" t="s">
        <v>29</v>
      </c>
      <c r="Y9" s="3" t="s">
        <v>30</v>
      </c>
      <c r="Z9" s="5">
        <f>IF(A9="", "", (D9+G9+K9+R9) - ABS(J9) - ABS(L9))</f>
        <v>157.37</v>
      </c>
    </row>
    <row r="10" ht="22" customHeight="1" spans="1:26" x14ac:dyDescent="0.25">
      <c r="A10" s="3" t="s">
        <v>52</v>
      </c>
      <c r="B10" s="3" t="s">
        <v>53</v>
      </c>
      <c r="C10" s="3" t="s">
        <v>54</v>
      </c>
      <c r="D10" s="4">
        <v>19.86</v>
      </c>
      <c r="E10" s="3">
        <v>0</v>
      </c>
      <c r="F10" s="4">
        <v>0</v>
      </c>
      <c r="G10" s="4">
        <v>0</v>
      </c>
      <c r="H10" s="3">
        <v>0</v>
      </c>
      <c r="I10" s="3">
        <v>0</v>
      </c>
      <c r="J10" s="4">
        <v>0</v>
      </c>
      <c r="K10" s="4">
        <v>0.15</v>
      </c>
      <c r="L10" s="4">
        <v>0.04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v>0</v>
      </c>
      <c r="S10" s="3">
        <v>0</v>
      </c>
      <c r="T10" s="3">
        <v>0</v>
      </c>
      <c r="U10" s="3">
        <v>0</v>
      </c>
      <c r="V10" s="4">
        <v>20.01</v>
      </c>
      <c r="W10" s="4">
        <v>19.97</v>
      </c>
      <c r="X10" s="3" t="s">
        <v>29</v>
      </c>
      <c r="Y10" s="3" t="s">
        <v>30</v>
      </c>
      <c r="Z10" s="5">
        <f>IF(A10="", "", (D10+G10+K10+R10) - ABS(J10) - ABS(L10))</f>
        <v>19.97</v>
      </c>
    </row>
    <row r="11" ht="22" customHeight="1" spans="1:26" x14ac:dyDescent="0.25">
      <c r="A11" s="3" t="s">
        <v>55</v>
      </c>
      <c r="B11" s="3" t="s">
        <v>56</v>
      </c>
      <c r="C11" s="3" t="s">
        <v>57</v>
      </c>
      <c r="D11" s="4">
        <v>66.59</v>
      </c>
      <c r="E11" s="3">
        <v>0</v>
      </c>
      <c r="F11" s="4">
        <v>0</v>
      </c>
      <c r="G11" s="4">
        <v>0</v>
      </c>
      <c r="H11" s="3">
        <v>0</v>
      </c>
      <c r="I11" s="3">
        <v>0</v>
      </c>
      <c r="J11" s="4">
        <v>12.8</v>
      </c>
      <c r="K11" s="4">
        <v>0.41</v>
      </c>
      <c r="L11" s="4">
        <v>0.04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0</v>
      </c>
      <c r="S11" s="3">
        <v>0</v>
      </c>
      <c r="T11" s="3">
        <v>0</v>
      </c>
      <c r="U11" s="3">
        <v>0</v>
      </c>
      <c r="V11" s="4">
        <v>67</v>
      </c>
      <c r="W11" s="4">
        <v>54.16</v>
      </c>
      <c r="X11" s="3" t="s">
        <v>29</v>
      </c>
      <c r="Y11" s="3" t="s">
        <v>30</v>
      </c>
      <c r="Z11" s="5">
        <f>IF(A11="", "", (D11+G11+K11+R11) - ABS(J11) - ABS(L11))</f>
        <v>54.16</v>
      </c>
    </row>
    <row r="12" ht="22" customHeight="1" spans="1:26" x14ac:dyDescent="0.25">
      <c r="A12" s="3" t="s">
        <v>58</v>
      </c>
      <c r="B12" s="3" t="s">
        <v>59</v>
      </c>
      <c r="C12" s="3" t="s">
        <v>60</v>
      </c>
      <c r="D12" s="4">
        <v>161</v>
      </c>
      <c r="E12" s="3">
        <v>0</v>
      </c>
      <c r="F12" s="4">
        <v>0</v>
      </c>
      <c r="G12" s="4">
        <v>0</v>
      </c>
      <c r="H12" s="3">
        <v>0</v>
      </c>
      <c r="I12" s="3">
        <v>0</v>
      </c>
      <c r="J12" s="4">
        <v>0</v>
      </c>
      <c r="K12" s="4">
        <v>1.1</v>
      </c>
      <c r="L12" s="4">
        <v>0.08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  <c r="T12" s="3">
        <v>0</v>
      </c>
      <c r="U12" s="3">
        <v>0</v>
      </c>
      <c r="V12" s="4">
        <v>162.1</v>
      </c>
      <c r="W12" s="4">
        <v>162.02</v>
      </c>
      <c r="X12" s="3" t="s">
        <v>29</v>
      </c>
      <c r="Y12" s="3" t="s">
        <v>30</v>
      </c>
      <c r="Z12" s="5">
        <f>IF(A12="", "", (D12+G12+K12+R12) - ABS(J12) - ABS(L12))</f>
        <v>162.02</v>
      </c>
    </row>
    <row r="13" ht="22" customHeight="1" spans="1:26" x14ac:dyDescent="0.25">
      <c r="A13" s="3" t="s">
        <v>61</v>
      </c>
      <c r="B13" s="3" t="s">
        <v>62</v>
      </c>
      <c r="C13" s="3" t="s">
        <v>63</v>
      </c>
      <c r="D13" s="4">
        <v>19.31</v>
      </c>
      <c r="E13" s="3">
        <v>0</v>
      </c>
      <c r="F13" s="4">
        <v>0</v>
      </c>
      <c r="G13" s="4">
        <v>0</v>
      </c>
      <c r="H13" s="3">
        <v>0</v>
      </c>
      <c r="I13" s="3">
        <v>0</v>
      </c>
      <c r="J13" s="4">
        <v>0</v>
      </c>
      <c r="K13" s="4">
        <v>0.66</v>
      </c>
      <c r="L13" s="4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0</v>
      </c>
      <c r="S13" s="3">
        <v>0</v>
      </c>
      <c r="T13" s="3">
        <v>0</v>
      </c>
      <c r="U13" s="3">
        <v>0</v>
      </c>
      <c r="V13" s="4">
        <v>19.97</v>
      </c>
      <c r="W13" s="4">
        <v>19.97</v>
      </c>
      <c r="X13" s="3" t="s">
        <v>29</v>
      </c>
      <c r="Y13" s="3" t="s">
        <v>30</v>
      </c>
      <c r="Z13" s="5">
        <f>IF(A13="", "", (D13+G13+K13+R13) - ABS(J13) - ABS(L13))</f>
        <v>19.97</v>
      </c>
    </row>
    <row r="14" ht="22" customHeight="1" spans="1:26" x14ac:dyDescent="0.25">
      <c r="A14" s="3" t="s">
        <v>64</v>
      </c>
      <c r="B14" s="3" t="s">
        <v>65</v>
      </c>
      <c r="C14" s="3" t="s">
        <v>66</v>
      </c>
      <c r="D14" s="4">
        <v>11.02</v>
      </c>
      <c r="E14" s="3">
        <v>0</v>
      </c>
      <c r="F14" s="4">
        <v>0</v>
      </c>
      <c r="G14" s="4">
        <v>0</v>
      </c>
      <c r="H14" s="3">
        <v>0</v>
      </c>
      <c r="I14" s="3">
        <v>0</v>
      </c>
      <c r="J14" s="4">
        <v>0</v>
      </c>
      <c r="K14" s="4">
        <v>0.02</v>
      </c>
      <c r="L14" s="4">
        <v>0.04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0</v>
      </c>
      <c r="S14" s="3">
        <v>0</v>
      </c>
      <c r="T14" s="3">
        <v>0</v>
      </c>
      <c r="U14" s="3">
        <v>0</v>
      </c>
      <c r="V14" s="4">
        <v>11.04</v>
      </c>
      <c r="W14" s="4">
        <v>11</v>
      </c>
      <c r="X14" s="3" t="s">
        <v>29</v>
      </c>
      <c r="Y14" s="3" t="s">
        <v>30</v>
      </c>
      <c r="Z14" s="5">
        <f>IF(A14="", "", (D14+G14+K14+R14) - ABS(J14) - ABS(L14))</f>
        <v>11</v>
      </c>
    </row>
    <row r="15" ht="22" customHeight="1" spans="1:26" x14ac:dyDescent="0.25">
      <c r="A15" s="3" t="s">
        <v>67</v>
      </c>
      <c r="B15" s="3" t="s">
        <v>68</v>
      </c>
      <c r="C15" s="3" t="s">
        <v>69</v>
      </c>
      <c r="D15" s="4">
        <v>93.96</v>
      </c>
      <c r="E15" s="3">
        <v>0</v>
      </c>
      <c r="F15" s="4">
        <v>0</v>
      </c>
      <c r="G15" s="4">
        <v>0</v>
      </c>
      <c r="H15" s="3">
        <v>0</v>
      </c>
      <c r="I15" s="3">
        <v>0</v>
      </c>
      <c r="J15" s="4">
        <v>0</v>
      </c>
      <c r="K15" s="4">
        <v>0</v>
      </c>
      <c r="L15" s="4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93.96</v>
      </c>
      <c r="W15" s="4">
        <v>93.96</v>
      </c>
      <c r="X15" s="3" t="s">
        <v>29</v>
      </c>
      <c r="Y15" s="3" t="s">
        <v>30</v>
      </c>
      <c r="Z15" s="5">
        <f>IF(A15="", "", (D15+G15+K15+R15) - ABS(J15) - ABS(L15))</f>
        <v>93.96</v>
      </c>
    </row>
    <row r="16" ht="22" customHeight="1" spans="1:26" x14ac:dyDescent="0.25">
      <c r="A16" s="3" t="s">
        <v>70</v>
      </c>
      <c r="B16" s="3" t="s">
        <v>71</v>
      </c>
      <c r="C16" s="3" t="s">
        <v>72</v>
      </c>
      <c r="D16" s="4">
        <v>14.12</v>
      </c>
      <c r="E16" s="3">
        <v>0</v>
      </c>
      <c r="F16" s="4">
        <v>0</v>
      </c>
      <c r="G16" s="4">
        <v>0</v>
      </c>
      <c r="H16" s="3">
        <v>0</v>
      </c>
      <c r="I16" s="3">
        <v>0</v>
      </c>
      <c r="J16" s="4">
        <v>0</v>
      </c>
      <c r="K16" s="4">
        <v>0</v>
      </c>
      <c r="L16" s="4">
        <v>0.04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0</v>
      </c>
      <c r="S16" s="3">
        <v>0</v>
      </c>
      <c r="T16" s="3">
        <v>0</v>
      </c>
      <c r="U16" s="3">
        <v>0</v>
      </c>
      <c r="V16" s="4">
        <v>14.12</v>
      </c>
      <c r="W16" s="4">
        <v>14.08</v>
      </c>
      <c r="X16" s="3" t="s">
        <v>29</v>
      </c>
      <c r="Y16" s="3" t="s">
        <v>30</v>
      </c>
      <c r="Z16" s="5">
        <f>IF(A16="", "", (D16+G16+K16+R16) - ABS(J16) - ABS(L16))</f>
        <v>14.08</v>
      </c>
    </row>
    <row r="17" ht="22" customHeight="1" spans="1:26" x14ac:dyDescent="0.25">
      <c r="A17" s="3" t="s">
        <v>73</v>
      </c>
      <c r="B17" s="3" t="s">
        <v>74</v>
      </c>
      <c r="C17" s="3" t="s">
        <v>75</v>
      </c>
      <c r="D17" s="4">
        <v>102.33</v>
      </c>
      <c r="E17" s="3">
        <v>0</v>
      </c>
      <c r="F17" s="4">
        <v>0</v>
      </c>
      <c r="G17" s="4">
        <v>0</v>
      </c>
      <c r="H17" s="3">
        <v>0</v>
      </c>
      <c r="I17" s="3">
        <v>0</v>
      </c>
      <c r="J17" s="4">
        <v>0</v>
      </c>
      <c r="K17" s="4">
        <v>0.68</v>
      </c>
      <c r="L17" s="4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103.01</v>
      </c>
      <c r="W17" s="4">
        <v>103.01</v>
      </c>
      <c r="X17" s="3" t="s">
        <v>29</v>
      </c>
      <c r="Y17" s="3" t="s">
        <v>30</v>
      </c>
      <c r="Z17" s="5">
        <f>IF(A17="", "", (D17+G17+K17+R17) - ABS(J17) - ABS(L17))</f>
        <v>103.01</v>
      </c>
    </row>
    <row r="18" ht="22" customHeight="1" spans="1:26" x14ac:dyDescent="0.25">
      <c r="A18" s="3" t="s">
        <v>76</v>
      </c>
      <c r="B18" s="3" t="s">
        <v>77</v>
      </c>
      <c r="C18" s="3" t="s">
        <v>78</v>
      </c>
      <c r="D18" s="4">
        <v>17.95</v>
      </c>
      <c r="E18" s="3">
        <v>0</v>
      </c>
      <c r="F18" s="4">
        <v>0</v>
      </c>
      <c r="G18" s="4">
        <v>0</v>
      </c>
      <c r="H18" s="3">
        <v>0</v>
      </c>
      <c r="I18" s="3">
        <v>0</v>
      </c>
      <c r="J18" s="4">
        <v>23.96</v>
      </c>
      <c r="K18" s="4">
        <v>0.14</v>
      </c>
      <c r="L18" s="4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4">
        <v>0</v>
      </c>
      <c r="S18" s="3">
        <v>0</v>
      </c>
      <c r="T18" s="3">
        <v>0</v>
      </c>
      <c r="U18" s="3">
        <v>0</v>
      </c>
      <c r="V18" s="4">
        <v>18.09</v>
      </c>
      <c r="W18" s="4">
        <v>-5.87</v>
      </c>
      <c r="X18" s="3" t="s">
        <v>29</v>
      </c>
      <c r="Y18" s="3" t="s">
        <v>30</v>
      </c>
      <c r="Z18" s="5">
        <f>IF(A18="", "", (D18+G18+K18+R18) - ABS(J18) - ABS(L18))</f>
        <v>-5.87</v>
      </c>
    </row>
    <row r="19" ht="22" customHeight="1" spans="1:26" x14ac:dyDescent="0.25">
      <c r="A19" s="3" t="s">
        <v>79</v>
      </c>
      <c r="B19" s="3" t="s">
        <v>80</v>
      </c>
      <c r="C19" s="3" t="s">
        <v>81</v>
      </c>
      <c r="D19" s="4">
        <v>20.99</v>
      </c>
      <c r="E19" s="3">
        <v>0</v>
      </c>
      <c r="F19" s="4">
        <v>0</v>
      </c>
      <c r="G19" s="4">
        <v>0</v>
      </c>
      <c r="H19" s="3">
        <v>0</v>
      </c>
      <c r="I19" s="3">
        <v>0</v>
      </c>
      <c r="J19" s="4">
        <v>0</v>
      </c>
      <c r="K19" s="4">
        <v>0.04</v>
      </c>
      <c r="L19" s="4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0</v>
      </c>
      <c r="S19" s="3">
        <v>0</v>
      </c>
      <c r="T19" s="3">
        <v>0</v>
      </c>
      <c r="U19" s="3">
        <v>0</v>
      </c>
      <c r="V19" s="4">
        <v>21.03</v>
      </c>
      <c r="W19" s="4">
        <v>21.03</v>
      </c>
      <c r="X19" s="3" t="s">
        <v>29</v>
      </c>
      <c r="Y19" s="3" t="s">
        <v>30</v>
      </c>
      <c r="Z19" s="5">
        <f>IF(A19="", "", (D19+G19+K19+R19) - ABS(J19) - ABS(L19))</f>
        <v>21.03</v>
      </c>
    </row>
    <row r="20" ht="22" customHeight="1" spans="1:26" x14ac:dyDescent="0.25">
      <c r="A20" s="3" t="s">
        <v>82</v>
      </c>
      <c r="B20" s="3" t="s">
        <v>83</v>
      </c>
      <c r="C20" s="3" t="s">
        <v>84</v>
      </c>
      <c r="D20" s="4">
        <v>17.43</v>
      </c>
      <c r="E20" s="3">
        <v>0</v>
      </c>
      <c r="F20" s="4">
        <v>0</v>
      </c>
      <c r="G20" s="4">
        <v>0</v>
      </c>
      <c r="H20" s="3">
        <v>0</v>
      </c>
      <c r="I20" s="3">
        <v>0</v>
      </c>
      <c r="J20" s="4">
        <v>0</v>
      </c>
      <c r="K20" s="4">
        <v>0</v>
      </c>
      <c r="L20" s="4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4">
        <v>0</v>
      </c>
      <c r="S20" s="3">
        <v>0</v>
      </c>
      <c r="T20" s="3">
        <v>0</v>
      </c>
      <c r="U20" s="3">
        <v>0</v>
      </c>
      <c r="V20" s="4">
        <v>17.43</v>
      </c>
      <c r="W20" s="4">
        <v>17.43</v>
      </c>
      <c r="X20" s="3" t="s">
        <v>29</v>
      </c>
      <c r="Y20" s="3" t="s">
        <v>30</v>
      </c>
      <c r="Z20" s="5">
        <f>IF(A20="", "", (D20+G20+K20+R20) - ABS(J20) - ABS(L20))</f>
        <v>17.43</v>
      </c>
    </row>
    <row r="21" ht="22" customHeight="1" spans="1:26" x14ac:dyDescent="0.25">
      <c r="A21" s="3" t="s">
        <v>85</v>
      </c>
      <c r="B21" s="3" t="s">
        <v>86</v>
      </c>
      <c r="C21" s="3" t="s">
        <v>87</v>
      </c>
      <c r="D21" s="4">
        <v>153.16</v>
      </c>
      <c r="E21" s="3">
        <v>0</v>
      </c>
      <c r="F21" s="4">
        <v>0</v>
      </c>
      <c r="G21" s="4">
        <v>4.45</v>
      </c>
      <c r="H21" s="3">
        <v>0</v>
      </c>
      <c r="I21" s="3">
        <v>0</v>
      </c>
      <c r="J21" s="4">
        <v>0</v>
      </c>
      <c r="K21" s="4">
        <v>1.83</v>
      </c>
      <c r="L21" s="4">
        <v>0.16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159.44</v>
      </c>
      <c r="W21" s="4">
        <v>159.28</v>
      </c>
      <c r="X21" s="3" t="s">
        <v>29</v>
      </c>
      <c r="Y21" s="3" t="s">
        <v>30</v>
      </c>
      <c r="Z21" s="5">
        <f>IF(A21="", "", (D21+G21+K21+R21) - ABS(J21) - ABS(L21))</f>
        <v>159.28</v>
      </c>
    </row>
    <row r="22" ht="22" customHeight="1" spans="1:26" x14ac:dyDescent="0.25">
      <c r="A22" s="3" t="s">
        <v>88</v>
      </c>
      <c r="B22" s="3" t="s">
        <v>89</v>
      </c>
      <c r="C22" s="3" t="s">
        <v>90</v>
      </c>
      <c r="D22" s="4">
        <v>68.03</v>
      </c>
      <c r="E22" s="3">
        <v>0</v>
      </c>
      <c r="F22" s="4">
        <v>0</v>
      </c>
      <c r="G22" s="4">
        <v>0</v>
      </c>
      <c r="H22" s="3">
        <v>0</v>
      </c>
      <c r="I22" s="3">
        <v>0</v>
      </c>
      <c r="J22" s="4">
        <v>0</v>
      </c>
      <c r="K22" s="4">
        <v>0.52</v>
      </c>
      <c r="L22" s="4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0</v>
      </c>
      <c r="S22" s="3">
        <v>0</v>
      </c>
      <c r="T22" s="3">
        <v>0</v>
      </c>
      <c r="U22" s="3">
        <v>0</v>
      </c>
      <c r="V22" s="4">
        <v>68.55</v>
      </c>
      <c r="W22" s="4">
        <v>68.55</v>
      </c>
      <c r="X22" s="3" t="s">
        <v>29</v>
      </c>
      <c r="Y22" s="3" t="s">
        <v>30</v>
      </c>
      <c r="Z22" s="5">
        <f>IF(A22="", "", (D22+G22+K22+R22) - ABS(J22) - ABS(L22))</f>
        <v>68.55</v>
      </c>
    </row>
    <row r="23" ht="22" customHeight="1" spans="1:26" x14ac:dyDescent="0.25">
      <c r="A23" s="3" t="s">
        <v>91</v>
      </c>
      <c r="B23" s="3" t="s">
        <v>92</v>
      </c>
      <c r="C23" s="3" t="s">
        <v>93</v>
      </c>
      <c r="D23" s="4">
        <v>109.44</v>
      </c>
      <c r="E23" s="3">
        <v>0</v>
      </c>
      <c r="F23" s="4">
        <v>0</v>
      </c>
      <c r="G23" s="4">
        <v>7</v>
      </c>
      <c r="H23" s="3">
        <v>0</v>
      </c>
      <c r="I23" s="3">
        <v>0</v>
      </c>
      <c r="J23" s="4">
        <v>0</v>
      </c>
      <c r="K23" s="4">
        <v>1.86</v>
      </c>
      <c r="L23" s="4">
        <v>0.12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118.3</v>
      </c>
      <c r="W23" s="4">
        <v>118.18</v>
      </c>
      <c r="X23" s="3" t="s">
        <v>29</v>
      </c>
      <c r="Y23" s="3" t="s">
        <v>30</v>
      </c>
      <c r="Z23" s="5">
        <f>IF(A23="", "", (D23+G23+K23+R23) - ABS(J23) - ABS(L23))</f>
        <v>118.18</v>
      </c>
    </row>
    <row r="24" ht="22" customHeight="1" spans="1:26" x14ac:dyDescent="0.25">
      <c r="A24" s="3" t="s">
        <v>94</v>
      </c>
      <c r="B24" s="3" t="s">
        <v>95</v>
      </c>
      <c r="C24" s="3" t="s">
        <v>96</v>
      </c>
      <c r="D24" s="4">
        <v>101.66</v>
      </c>
      <c r="E24" s="3">
        <v>0</v>
      </c>
      <c r="F24" s="4">
        <v>1.64</v>
      </c>
      <c r="G24" s="4">
        <v>0</v>
      </c>
      <c r="H24" s="3">
        <v>0</v>
      </c>
      <c r="I24" s="3">
        <v>0</v>
      </c>
      <c r="J24" s="4">
        <v>0</v>
      </c>
      <c r="K24" s="4">
        <v>0</v>
      </c>
      <c r="L24" s="4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1.64</v>
      </c>
      <c r="S24" s="3">
        <v>0</v>
      </c>
      <c r="T24" s="3">
        <v>0</v>
      </c>
      <c r="U24" s="3">
        <v>0</v>
      </c>
      <c r="V24" s="4">
        <v>101.66</v>
      </c>
      <c r="W24" s="4">
        <v>103.3</v>
      </c>
      <c r="X24" s="3" t="s">
        <v>29</v>
      </c>
      <c r="Y24" s="3" t="s">
        <v>30</v>
      </c>
      <c r="Z24" s="5">
        <f>IF(A24="", "", (D24+G24+K24+R24) - ABS(J24) - ABS(L24))</f>
        <v>103.3</v>
      </c>
    </row>
    <row r="25" ht="22" customHeight="1" spans="1:26" x14ac:dyDescent="0.25">
      <c r="A25" s="3" t="s">
        <v>97</v>
      </c>
      <c r="B25" s="3" t="s">
        <v>98</v>
      </c>
      <c r="C25" s="3" t="s">
        <v>99</v>
      </c>
      <c r="D25" s="4">
        <v>36.51</v>
      </c>
      <c r="E25" s="3">
        <v>0</v>
      </c>
      <c r="F25" s="4">
        <v>0</v>
      </c>
      <c r="G25" s="4">
        <v>0</v>
      </c>
      <c r="H25" s="3">
        <v>0</v>
      </c>
      <c r="I25" s="3">
        <v>0</v>
      </c>
      <c r="J25" s="4">
        <v>0</v>
      </c>
      <c r="K25" s="4">
        <v>0.96</v>
      </c>
      <c r="L25" s="4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0</v>
      </c>
      <c r="S25" s="3">
        <v>0</v>
      </c>
      <c r="T25" s="3">
        <v>0</v>
      </c>
      <c r="U25" s="3">
        <v>0</v>
      </c>
      <c r="V25" s="4">
        <v>37.47</v>
      </c>
      <c r="W25" s="4">
        <v>37.47</v>
      </c>
      <c r="X25" s="3" t="s">
        <v>29</v>
      </c>
      <c r="Y25" s="3" t="s">
        <v>30</v>
      </c>
      <c r="Z25" s="5">
        <f>IF(A25="", "", (D25+G25+K25+R25) - ABS(J25) - ABS(L25))</f>
        <v>37.47</v>
      </c>
    </row>
    <row r="26" ht="22" customHeight="1" spans="1:26" x14ac:dyDescent="0.25">
      <c r="A26" s="3" t="s">
        <v>100</v>
      </c>
      <c r="B26" s="3" t="s">
        <v>101</v>
      </c>
      <c r="C26" s="3" t="s">
        <v>102</v>
      </c>
      <c r="D26" s="4">
        <v>91.94</v>
      </c>
      <c r="E26" s="3">
        <v>0</v>
      </c>
      <c r="F26" s="4">
        <v>0</v>
      </c>
      <c r="G26" s="4">
        <v>0</v>
      </c>
      <c r="H26" s="3">
        <v>0</v>
      </c>
      <c r="I26" s="3">
        <v>0</v>
      </c>
      <c r="J26" s="4">
        <v>0</v>
      </c>
      <c r="K26" s="4">
        <v>0.59</v>
      </c>
      <c r="L26" s="4">
        <v>0.04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4">
        <v>92.53</v>
      </c>
      <c r="W26" s="4">
        <v>92.49</v>
      </c>
      <c r="X26" s="3" t="s">
        <v>29</v>
      </c>
      <c r="Y26" s="3" t="s">
        <v>30</v>
      </c>
      <c r="Z26" s="5">
        <f>IF(A26="", "", (D26+G26+K26+R26) - ABS(J26) - ABS(L26))</f>
        <v>92.49</v>
      </c>
    </row>
    <row r="27" ht="22" customHeight="1" spans="1:26" x14ac:dyDescent="0.25">
      <c r="A27" s="3" t="s">
        <v>103</v>
      </c>
      <c r="B27" s="3" t="s">
        <v>104</v>
      </c>
      <c r="C27" s="3" t="s">
        <v>105</v>
      </c>
      <c r="D27" s="4">
        <v>154.59</v>
      </c>
      <c r="E27" s="3">
        <v>0</v>
      </c>
      <c r="F27" s="4">
        <v>0</v>
      </c>
      <c r="G27" s="4">
        <v>5</v>
      </c>
      <c r="H27" s="3">
        <v>0</v>
      </c>
      <c r="I27" s="3">
        <v>0</v>
      </c>
      <c r="J27" s="4">
        <v>0</v>
      </c>
      <c r="K27" s="4">
        <v>0.3</v>
      </c>
      <c r="L27" s="4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0</v>
      </c>
      <c r="S27" s="3">
        <v>0</v>
      </c>
      <c r="T27" s="3">
        <v>0</v>
      </c>
      <c r="U27" s="3">
        <v>0</v>
      </c>
      <c r="V27" s="4">
        <v>159.89</v>
      </c>
      <c r="W27" s="4">
        <v>159.89</v>
      </c>
      <c r="X27" s="3" t="s">
        <v>29</v>
      </c>
      <c r="Y27" s="3" t="s">
        <v>30</v>
      </c>
      <c r="Z27" s="5">
        <f>IF(A27="", "", (D27+G27+K27+R27) - ABS(J27) - ABS(L27))</f>
        <v>159.89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workbookViewId="0"/>
  </sheetViews>
  <sheetFormatPr defaultRowHeight="15" outlineLevelRow="0" outlineLevelCol="0" x14ac:dyDescent="55"/>
  <cols>
    <col min="1" max="1" width="28" customWidth="1"/>
    <col min="2" max="25" width="16" customWidth="1"/>
    <col min="26" max="26" width="24" customWidth="1"/>
  </cols>
  <sheetData>
    <row r="1" ht="28" customHeight="1" spans="1:26" x14ac:dyDescent="0.25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  <c r="I1" s="6" t="s">
        <v>114</v>
      </c>
      <c r="J1" s="6" t="s">
        <v>115</v>
      </c>
      <c r="K1" s="6" t="s">
        <v>116</v>
      </c>
      <c r="L1" s="6" t="s">
        <v>117</v>
      </c>
      <c r="M1" s="6" t="s">
        <v>118</v>
      </c>
      <c r="N1" s="6" t="s">
        <v>119</v>
      </c>
      <c r="O1" s="6" t="s">
        <v>120</v>
      </c>
      <c r="P1" s="6" t="s">
        <v>121</v>
      </c>
      <c r="Q1" s="6" t="s">
        <v>122</v>
      </c>
      <c r="R1" s="6" t="s">
        <v>123</v>
      </c>
      <c r="S1" s="6" t="s">
        <v>124</v>
      </c>
      <c r="T1" s="6" t="s">
        <v>125</v>
      </c>
      <c r="U1" s="6" t="s">
        <v>126</v>
      </c>
      <c r="V1" s="6" t="s">
        <v>127</v>
      </c>
      <c r="W1" s="6" t="s">
        <v>128</v>
      </c>
      <c r="X1" s="6" t="s">
        <v>129</v>
      </c>
      <c r="Y1" s="6" t="s">
        <v>130</v>
      </c>
      <c r="Z1" s="2" t="s">
        <v>131</v>
      </c>
    </row>
    <row r="2" ht="22" customHeight="1" spans="1:26" x14ac:dyDescent="0.25">
      <c r="A2" s="3" t="s">
        <v>132</v>
      </c>
      <c r="B2" s="3" t="s">
        <v>133</v>
      </c>
      <c r="C2" s="3" t="s">
        <v>134</v>
      </c>
      <c r="D2" s="3" t="s">
        <v>135</v>
      </c>
      <c r="E2" s="4">
        <v>178.2</v>
      </c>
      <c r="F2" s="4">
        <v>430.2</v>
      </c>
      <c r="G2" s="4">
        <v>361.9</v>
      </c>
      <c r="H2" s="4">
        <v>29</v>
      </c>
      <c r="I2" s="3">
        <v>0</v>
      </c>
      <c r="J2" s="3">
        <v>0</v>
      </c>
      <c r="K2" s="4">
        <v>0</v>
      </c>
      <c r="L2" s="3">
        <v>0</v>
      </c>
      <c r="M2" s="3">
        <v>0</v>
      </c>
      <c r="N2" s="3">
        <v>7</v>
      </c>
      <c r="O2" s="4">
        <v>149.28</v>
      </c>
      <c r="P2" s="3">
        <v>0</v>
      </c>
      <c r="Q2" s="4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 t="s">
        <v>136</v>
      </c>
      <c r="Y2" s="3" t="s">
        <v>30</v>
      </c>
      <c r="Z2" s="5">
        <f>IF(A2="", "", (E2+F2+H2+I2+J2+K2+L2+N2+V2+W2) - ABS(O2+P2+Q2+S2) - ABS(G2))</f>
        <v>133.22</v>
      </c>
    </row>
    <row r="3" ht="22" customHeight="1" spans="1:26" x14ac:dyDescent="0.25">
      <c r="A3" s="3" t="s">
        <v>137</v>
      </c>
      <c r="B3" s="3" t="s">
        <v>138</v>
      </c>
      <c r="C3" s="3" t="s">
        <v>139</v>
      </c>
      <c r="D3" s="3" t="s">
        <v>140</v>
      </c>
      <c r="E3" s="4">
        <v>186.2</v>
      </c>
      <c r="F3" s="4">
        <v>12</v>
      </c>
      <c r="G3" s="4">
        <v>12</v>
      </c>
      <c r="H3" s="4">
        <v>0</v>
      </c>
      <c r="I3" s="3">
        <v>0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4">
        <v>49.08</v>
      </c>
      <c r="P3" s="3">
        <v>0</v>
      </c>
      <c r="Q3" s="4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 t="s">
        <v>136</v>
      </c>
      <c r="Y3" s="3" t="s">
        <v>30</v>
      </c>
      <c r="Z3" s="5">
        <f>IF(A3="", "", (E3+F3+H3+I3+J3+K3+L3+N3+V3+W3) - ABS(O3+P3+Q3+S3) - ABS(G3))</f>
        <v>137.12</v>
      </c>
    </row>
    <row r="4" ht="22" customHeight="1" spans="1:26" x14ac:dyDescent="0.25">
      <c r="A4" s="3" t="s">
        <v>91</v>
      </c>
      <c r="B4" s="3" t="s">
        <v>141</v>
      </c>
      <c r="C4" s="3" t="s">
        <v>142</v>
      </c>
      <c r="D4" s="3" t="s">
        <v>143</v>
      </c>
      <c r="E4" s="4">
        <v>0</v>
      </c>
      <c r="F4" s="4">
        <v>25.7</v>
      </c>
      <c r="G4" s="4">
        <v>16.7</v>
      </c>
      <c r="H4" s="4">
        <v>0</v>
      </c>
      <c r="I4" s="3">
        <v>0</v>
      </c>
      <c r="J4" s="3">
        <v>0</v>
      </c>
      <c r="K4" s="4">
        <v>0</v>
      </c>
      <c r="L4" s="3">
        <v>0</v>
      </c>
      <c r="M4" s="3">
        <v>0</v>
      </c>
      <c r="N4" s="3">
        <v>0</v>
      </c>
      <c r="O4" s="4">
        <v>11.56</v>
      </c>
      <c r="P4" s="3">
        <v>0</v>
      </c>
      <c r="Q4" s="4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 t="s">
        <v>136</v>
      </c>
      <c r="Y4" s="3" t="s">
        <v>30</v>
      </c>
      <c r="Z4" s="5">
        <f>IF(A4="", "", (E4+F4+H4+I4+J4+K4+L4+N4+V4+W4) - ABS(O4+P4+Q4+S4) - ABS(G4))</f>
        <v>-2.56</v>
      </c>
    </row>
    <row r="5" ht="22" customHeight="1" spans="1:26" x14ac:dyDescent="0.25">
      <c r="A5" s="3" t="s">
        <v>144</v>
      </c>
      <c r="B5" s="3" t="s">
        <v>145</v>
      </c>
      <c r="C5" s="3" t="s">
        <v>146</v>
      </c>
      <c r="D5" s="3" t="s">
        <v>147</v>
      </c>
      <c r="E5" s="4">
        <v>590.5</v>
      </c>
      <c r="F5" s="4">
        <v>308.4</v>
      </c>
      <c r="G5" s="4">
        <v>246.3</v>
      </c>
      <c r="H5" s="4">
        <v>2.4</v>
      </c>
      <c r="I5" s="3">
        <v>0</v>
      </c>
      <c r="J5" s="3">
        <v>0</v>
      </c>
      <c r="K5" s="4">
        <v>0</v>
      </c>
      <c r="L5" s="3">
        <v>0</v>
      </c>
      <c r="M5" s="3">
        <v>0</v>
      </c>
      <c r="N5" s="3">
        <v>0</v>
      </c>
      <c r="O5" s="4">
        <v>246.46</v>
      </c>
      <c r="P5" s="3">
        <v>0</v>
      </c>
      <c r="Q5" s="4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 t="s">
        <v>136</v>
      </c>
      <c r="Y5" s="3" t="s">
        <v>30</v>
      </c>
      <c r="Z5" s="5">
        <f>IF(A5="", "", (E5+F5+H5+I5+J5+K5+L5+N5+V5+W5) - ABS(O5+P5+Q5+S5) - ABS(G5))</f>
        <v>408.54</v>
      </c>
    </row>
    <row r="6" ht="22" customHeight="1" spans="1:26" x14ac:dyDescent="0.25">
      <c r="A6" s="3" t="s">
        <v>148</v>
      </c>
      <c r="B6" s="3" t="s">
        <v>149</v>
      </c>
      <c r="C6" s="3" t="s">
        <v>150</v>
      </c>
      <c r="D6" s="3" t="s">
        <v>151</v>
      </c>
      <c r="E6" s="4">
        <v>355.6</v>
      </c>
      <c r="F6" s="4">
        <v>0</v>
      </c>
      <c r="G6" s="4">
        <v>0</v>
      </c>
      <c r="H6" s="4">
        <v>0</v>
      </c>
      <c r="I6" s="3">
        <v>0</v>
      </c>
      <c r="J6" s="3">
        <v>0</v>
      </c>
      <c r="K6" s="4">
        <v>0</v>
      </c>
      <c r="L6" s="3">
        <v>0</v>
      </c>
      <c r="M6" s="3">
        <v>0</v>
      </c>
      <c r="N6" s="3">
        <v>0</v>
      </c>
      <c r="O6" s="4">
        <v>87.57</v>
      </c>
      <c r="P6" s="3">
        <v>0</v>
      </c>
      <c r="Q6" s="4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 t="s">
        <v>136</v>
      </c>
      <c r="Y6" s="3" t="s">
        <v>30</v>
      </c>
      <c r="Z6" s="5">
        <f>IF(A6="", "", (E6+F6+H6+I6+J6+K6+L6+N6+V6+W6) - ABS(O6+P6+Q6+S6) - ABS(G6))</f>
        <v>268.03</v>
      </c>
    </row>
    <row r="7" ht="22" customHeight="1" spans="1:26" x14ac:dyDescent="0.25">
      <c r="A7" s="3" t="s">
        <v>152</v>
      </c>
      <c r="B7" s="3" t="s">
        <v>153</v>
      </c>
      <c r="C7" s="3" t="s">
        <v>154</v>
      </c>
      <c r="D7" s="3" t="s">
        <v>155</v>
      </c>
      <c r="E7" s="4">
        <v>15.7</v>
      </c>
      <c r="F7" s="4">
        <v>0</v>
      </c>
      <c r="G7" s="4">
        <v>0</v>
      </c>
      <c r="H7" s="4">
        <v>0</v>
      </c>
      <c r="I7" s="3">
        <v>0</v>
      </c>
      <c r="J7" s="3">
        <v>0</v>
      </c>
      <c r="K7" s="4">
        <v>0</v>
      </c>
      <c r="L7" s="3">
        <v>0</v>
      </c>
      <c r="M7" s="3">
        <v>0</v>
      </c>
      <c r="N7" s="3">
        <v>0</v>
      </c>
      <c r="O7" s="4">
        <v>4.26</v>
      </c>
      <c r="P7" s="3">
        <v>0</v>
      </c>
      <c r="Q7" s="4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 t="s">
        <v>136</v>
      </c>
      <c r="Y7" s="3" t="s">
        <v>30</v>
      </c>
      <c r="Z7" s="5">
        <f>IF(A7="", "", (E7+F7+H7+I7+J7+K7+L7+N7+V7+W7) - ABS(O7+P7+Q7+S7) - ABS(G7))</f>
        <v>11.44</v>
      </c>
    </row>
    <row r="8" ht="22" customHeight="1" spans="1:26" x14ac:dyDescent="0.25">
      <c r="A8" s="3" t="s">
        <v>156</v>
      </c>
      <c r="B8" s="3" t="s">
        <v>157</v>
      </c>
      <c r="C8" s="3" t="s">
        <v>158</v>
      </c>
      <c r="D8" s="3" t="s">
        <v>159</v>
      </c>
      <c r="E8" s="4">
        <v>474.4</v>
      </c>
      <c r="F8" s="4">
        <v>164</v>
      </c>
      <c r="G8" s="4">
        <v>136.7</v>
      </c>
      <c r="H8" s="4">
        <v>0</v>
      </c>
      <c r="I8" s="3">
        <v>0</v>
      </c>
      <c r="J8" s="3">
        <v>0</v>
      </c>
      <c r="K8" s="4">
        <v>0</v>
      </c>
      <c r="L8" s="3">
        <v>0</v>
      </c>
      <c r="M8" s="3">
        <v>0</v>
      </c>
      <c r="N8" s="3">
        <v>7</v>
      </c>
      <c r="O8" s="4">
        <v>158.12</v>
      </c>
      <c r="P8" s="3">
        <v>0</v>
      </c>
      <c r="Q8" s="4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 t="s">
        <v>136</v>
      </c>
      <c r="Y8" s="3" t="s">
        <v>30</v>
      </c>
      <c r="Z8" s="5">
        <f>IF(A8="", "", (E8+F8+H8+I8+J8+K8+L8+N8+V8+W8) - ABS(O8+P8+Q8+S8) - ABS(G8))</f>
        <v>350.58</v>
      </c>
    </row>
    <row r="9" ht="22" customHeight="1" spans="1:26" x14ac:dyDescent="0.25">
      <c r="A9" s="3" t="s">
        <v>160</v>
      </c>
      <c r="B9" s="3" t="s">
        <v>161</v>
      </c>
      <c r="C9" s="3" t="s">
        <v>162</v>
      </c>
      <c r="D9" s="3" t="s">
        <v>163</v>
      </c>
      <c r="E9" s="4">
        <v>460.8</v>
      </c>
      <c r="F9" s="4">
        <v>409.2</v>
      </c>
      <c r="G9" s="4">
        <v>334.8</v>
      </c>
      <c r="H9" s="4">
        <v>0</v>
      </c>
      <c r="I9" s="3">
        <v>0</v>
      </c>
      <c r="J9" s="3">
        <v>0</v>
      </c>
      <c r="K9" s="4">
        <v>8</v>
      </c>
      <c r="L9" s="3">
        <v>6.35</v>
      </c>
      <c r="M9" s="3">
        <v>0</v>
      </c>
      <c r="N9" s="3">
        <v>0</v>
      </c>
      <c r="O9" s="4">
        <v>219.01</v>
      </c>
      <c r="P9" s="3">
        <v>0</v>
      </c>
      <c r="Q9" s="4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 t="s">
        <v>136</v>
      </c>
      <c r="Y9" s="3" t="s">
        <v>30</v>
      </c>
      <c r="Z9" s="5">
        <f>IF(A9="", "", (E9+F9+H9+I9+J9+K9+L9+N9+V9+W9) - ABS(O9+P9+Q9+S9) - ABS(G9))</f>
        <v>330.54</v>
      </c>
    </row>
    <row r="10" ht="22" customHeight="1" spans="1:26" x14ac:dyDescent="0.25">
      <c r="A10" s="3" t="s">
        <v>164</v>
      </c>
      <c r="B10" s="3" t="s">
        <v>165</v>
      </c>
      <c r="C10" s="3" t="s">
        <v>166</v>
      </c>
      <c r="D10" s="3" t="s">
        <v>167</v>
      </c>
      <c r="E10" s="4">
        <v>234.5</v>
      </c>
      <c r="F10" s="4">
        <v>98.6</v>
      </c>
      <c r="G10" s="4">
        <v>81.6</v>
      </c>
      <c r="H10" s="4">
        <v>79</v>
      </c>
      <c r="I10" s="3">
        <v>0</v>
      </c>
      <c r="J10" s="3">
        <v>0</v>
      </c>
      <c r="K10" s="4">
        <v>0</v>
      </c>
      <c r="L10" s="3">
        <v>0</v>
      </c>
      <c r="M10" s="3">
        <v>0</v>
      </c>
      <c r="N10" s="3">
        <v>7</v>
      </c>
      <c r="O10" s="4">
        <v>83.05</v>
      </c>
      <c r="P10" s="3">
        <v>0</v>
      </c>
      <c r="Q10" s="4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 t="s">
        <v>136</v>
      </c>
      <c r="Y10" s="3" t="s">
        <v>30</v>
      </c>
      <c r="Z10" s="5">
        <f>IF(A10="", "", (E10+F10+H10+I10+J10+K10+L10+N10+V10+W10) - ABS(O10+P10+Q10+S10) - ABS(G10))</f>
        <v>254.45</v>
      </c>
    </row>
    <row r="11" ht="22" customHeight="1" spans="1:26" x14ac:dyDescent="0.25">
      <c r="A11" s="3" t="s">
        <v>168</v>
      </c>
      <c r="B11" s="3" t="s">
        <v>169</v>
      </c>
      <c r="C11" s="3" t="s">
        <v>170</v>
      </c>
      <c r="D11" s="3" t="s">
        <v>171</v>
      </c>
      <c r="E11" s="4">
        <v>231.5</v>
      </c>
      <c r="F11" s="4">
        <v>0</v>
      </c>
      <c r="G11" s="4">
        <v>0</v>
      </c>
      <c r="H11" s="4">
        <v>0</v>
      </c>
      <c r="I11" s="3">
        <v>0</v>
      </c>
      <c r="J11" s="3">
        <v>0</v>
      </c>
      <c r="K11" s="4">
        <v>0</v>
      </c>
      <c r="L11" s="3">
        <v>0</v>
      </c>
      <c r="M11" s="3">
        <v>0</v>
      </c>
      <c r="N11" s="3">
        <v>7</v>
      </c>
      <c r="O11" s="4">
        <v>64.37</v>
      </c>
      <c r="P11" s="3">
        <v>0</v>
      </c>
      <c r="Q11" s="4">
        <v>0</v>
      </c>
      <c r="R11" s="3">
        <v>0</v>
      </c>
      <c r="S11" s="3">
        <v>5</v>
      </c>
      <c r="T11" s="3">
        <v>0</v>
      </c>
      <c r="U11" s="3">
        <v>0</v>
      </c>
      <c r="V11" s="3">
        <v>0</v>
      </c>
      <c r="W11" s="3">
        <v>0</v>
      </c>
      <c r="X11" s="3" t="s">
        <v>136</v>
      </c>
      <c r="Y11" s="3" t="s">
        <v>30</v>
      </c>
      <c r="Z11" s="5">
        <f>IF(A11="", "", (E11+F11+H11+I11+J11+K11+L11+N11+V11+W11) - ABS(O11+P11+Q11+S11) - ABS(G11))</f>
        <v>169.13</v>
      </c>
    </row>
    <row r="12" ht="22" customHeight="1" spans="1:26" x14ac:dyDescent="0.25">
      <c r="A12" s="3" t="s">
        <v>172</v>
      </c>
      <c r="B12" s="3" t="s">
        <v>173</v>
      </c>
      <c r="C12" s="3" t="s">
        <v>174</v>
      </c>
      <c r="D12" s="3" t="s">
        <v>175</v>
      </c>
      <c r="E12" s="4">
        <v>387.3</v>
      </c>
      <c r="F12" s="4">
        <v>98.1</v>
      </c>
      <c r="G12" s="4">
        <v>84.5</v>
      </c>
      <c r="H12" s="4">
        <v>0</v>
      </c>
      <c r="I12" s="3">
        <v>0</v>
      </c>
      <c r="J12" s="3">
        <v>0</v>
      </c>
      <c r="K12" s="4">
        <v>2</v>
      </c>
      <c r="L12" s="3">
        <v>0.4</v>
      </c>
      <c r="M12" s="3">
        <v>0</v>
      </c>
      <c r="N12" s="3">
        <v>7</v>
      </c>
      <c r="O12" s="4">
        <v>115.71</v>
      </c>
      <c r="P12" s="3">
        <v>0</v>
      </c>
      <c r="Q12" s="4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 t="s">
        <v>136</v>
      </c>
      <c r="Y12" s="3" t="s">
        <v>30</v>
      </c>
      <c r="Z12" s="5">
        <f>IF(A12="", "", (E12+F12+H12+I12+J12+K12+L12+N12+V12+W12) - ABS(O12+P12+Q12+S12) - ABS(G12))</f>
        <v>294.59</v>
      </c>
    </row>
    <row r="13" ht="22" customHeight="1" spans="1:26" x14ac:dyDescent="0.25">
      <c r="A13" s="3" t="s">
        <v>176</v>
      </c>
      <c r="B13" s="3" t="s">
        <v>177</v>
      </c>
      <c r="C13" s="3" t="s">
        <v>178</v>
      </c>
      <c r="D13" s="3" t="s">
        <v>179</v>
      </c>
      <c r="E13" s="4">
        <v>63.5</v>
      </c>
      <c r="F13" s="4">
        <v>139.9</v>
      </c>
      <c r="G13" s="4">
        <v>116.3</v>
      </c>
      <c r="H13" s="4">
        <v>39.64</v>
      </c>
      <c r="I13" s="3">
        <v>0</v>
      </c>
      <c r="J13" s="3">
        <v>0</v>
      </c>
      <c r="K13" s="4">
        <v>0</v>
      </c>
      <c r="L13" s="3">
        <v>0</v>
      </c>
      <c r="M13" s="3">
        <v>0</v>
      </c>
      <c r="N13" s="3">
        <v>0</v>
      </c>
      <c r="O13" s="4">
        <v>48.89</v>
      </c>
      <c r="P13" s="3">
        <v>0</v>
      </c>
      <c r="Q13" s="4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 t="s">
        <v>136</v>
      </c>
      <c r="Y13" s="3" t="s">
        <v>30</v>
      </c>
      <c r="Z13" s="5">
        <f>IF(A13="", "", (E13+F13+H13+I13+J13+K13+L13+N13+V13+W13) - ABS(O13+P13+Q13+S13) - ABS(G13))</f>
        <v>77.85</v>
      </c>
    </row>
    <row r="14" ht="22" customHeight="1" spans="1:26" x14ac:dyDescent="0.25">
      <c r="A14" s="3" t="s">
        <v>85</v>
      </c>
      <c r="B14" s="3" t="s">
        <v>180</v>
      </c>
      <c r="C14" s="3" t="s">
        <v>181</v>
      </c>
      <c r="D14" s="3" t="s">
        <v>182</v>
      </c>
      <c r="E14" s="4">
        <v>257.2</v>
      </c>
      <c r="F14" s="4">
        <v>110.3</v>
      </c>
      <c r="G14" s="4">
        <v>95</v>
      </c>
      <c r="H14" s="4">
        <v>5.32</v>
      </c>
      <c r="I14" s="3">
        <v>0</v>
      </c>
      <c r="J14" s="3">
        <v>0</v>
      </c>
      <c r="K14" s="4">
        <v>1</v>
      </c>
      <c r="L14" s="3">
        <v>0</v>
      </c>
      <c r="M14" s="3">
        <v>0</v>
      </c>
      <c r="N14" s="3">
        <v>0</v>
      </c>
      <c r="O14" s="4">
        <v>96.19</v>
      </c>
      <c r="P14" s="3">
        <v>0</v>
      </c>
      <c r="Q14" s="4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136</v>
      </c>
      <c r="Y14" s="3" t="s">
        <v>30</v>
      </c>
      <c r="Z14" s="5">
        <f>IF(A14="", "", (E14+F14+H14+I14+J14+K14+L14+N14+V14+W14) - ABS(O14+P14+Q14+S14) - ABS(G14))</f>
        <v>182.63</v>
      </c>
    </row>
    <row r="15" ht="22" customHeight="1" spans="1:26" x14ac:dyDescent="0.25">
      <c r="A15" s="3" t="s">
        <v>183</v>
      </c>
      <c r="B15" s="3" t="s">
        <v>184</v>
      </c>
      <c r="C15" s="3" t="s">
        <v>185</v>
      </c>
      <c r="D15" s="3" t="s">
        <v>186</v>
      </c>
      <c r="E15" s="4">
        <v>325.8</v>
      </c>
      <c r="F15" s="4">
        <v>273.4</v>
      </c>
      <c r="G15" s="4">
        <v>216.7</v>
      </c>
      <c r="H15" s="4">
        <v>22</v>
      </c>
      <c r="I15" s="3">
        <v>0</v>
      </c>
      <c r="J15" s="3">
        <v>0</v>
      </c>
      <c r="K15" s="4">
        <v>0</v>
      </c>
      <c r="L15" s="3">
        <v>6.45</v>
      </c>
      <c r="M15" s="3">
        <v>0</v>
      </c>
      <c r="N15" s="3">
        <v>0</v>
      </c>
      <c r="O15" s="4">
        <v>147.63</v>
      </c>
      <c r="P15" s="3">
        <v>0</v>
      </c>
      <c r="Q15" s="4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136</v>
      </c>
      <c r="Y15" s="3" t="s">
        <v>30</v>
      </c>
      <c r="Z15" s="5">
        <f>IF(A15="", "", (E15+F15+H15+I15+J15+K15+L15+N15+V15+W15) - ABS(O15+P15+Q15+S15) - ABS(G15))</f>
        <v>263.32</v>
      </c>
    </row>
    <row r="16" ht="22" customHeight="1" spans="1:26" x14ac:dyDescent="0.25">
      <c r="A16" s="3" t="s">
        <v>187</v>
      </c>
      <c r="B16" s="3" t="s">
        <v>188</v>
      </c>
      <c r="C16" s="3" t="s">
        <v>189</v>
      </c>
      <c r="D16" s="3" t="s">
        <v>190</v>
      </c>
      <c r="E16" s="4">
        <v>201.7</v>
      </c>
      <c r="F16" s="4">
        <v>134.4</v>
      </c>
      <c r="G16" s="4">
        <v>114.8</v>
      </c>
      <c r="H16" s="4">
        <v>0</v>
      </c>
      <c r="I16" s="3">
        <v>0</v>
      </c>
      <c r="J16" s="3">
        <v>0</v>
      </c>
      <c r="K16" s="4">
        <v>0</v>
      </c>
      <c r="L16" s="3">
        <v>0</v>
      </c>
      <c r="M16" s="3">
        <v>0</v>
      </c>
      <c r="N16" s="3">
        <v>7</v>
      </c>
      <c r="O16" s="4">
        <v>83.14</v>
      </c>
      <c r="P16" s="3">
        <v>0</v>
      </c>
      <c r="Q16" s="4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 t="s">
        <v>136</v>
      </c>
      <c r="Y16" s="3" t="s">
        <v>30</v>
      </c>
      <c r="Z16" s="5">
        <f>IF(A16="", "", (E16+F16+H16+I16+J16+K16+L16+N16+V16+W16) - ABS(O16+P16+Q16+S16) - ABS(G16))</f>
        <v>145.16</v>
      </c>
    </row>
    <row r="17" ht="22" customHeight="1" spans="1:26" x14ac:dyDescent="0.25">
      <c r="A17" s="3" t="s">
        <v>191</v>
      </c>
      <c r="B17" s="3" t="s">
        <v>192</v>
      </c>
      <c r="C17" s="3" t="s">
        <v>193</v>
      </c>
      <c r="D17" s="3" t="s">
        <v>194</v>
      </c>
      <c r="E17" s="4">
        <v>103.9</v>
      </c>
      <c r="F17" s="4">
        <v>0</v>
      </c>
      <c r="G17" s="4">
        <v>0</v>
      </c>
      <c r="H17" s="4">
        <v>0</v>
      </c>
      <c r="I17" s="3">
        <v>0</v>
      </c>
      <c r="J17" s="3">
        <v>0</v>
      </c>
      <c r="K17" s="4">
        <v>0</v>
      </c>
      <c r="L17" s="3">
        <v>0</v>
      </c>
      <c r="M17" s="3">
        <v>0</v>
      </c>
      <c r="N17" s="3">
        <v>0</v>
      </c>
      <c r="O17" s="4">
        <v>25.24</v>
      </c>
      <c r="P17" s="3">
        <v>0</v>
      </c>
      <c r="Q17" s="4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 t="s">
        <v>136</v>
      </c>
      <c r="Y17" s="3" t="s">
        <v>30</v>
      </c>
      <c r="Z17" s="5">
        <f>IF(A17="", "", (E17+F17+H17+I17+J17+K17+L17+N17+V17+W17) - ABS(O17+P17+Q17+S17) - ABS(G17))</f>
        <v>78.66</v>
      </c>
    </row>
    <row r="18" ht="22" customHeight="1" spans="1:26" x14ac:dyDescent="0.25">
      <c r="A18" s="3" t="s">
        <v>195</v>
      </c>
      <c r="B18" s="3" t="s">
        <v>196</v>
      </c>
      <c r="C18" s="3" t="s">
        <v>197</v>
      </c>
      <c r="D18" s="3" t="s">
        <v>198</v>
      </c>
      <c r="E18" s="4">
        <v>71.1</v>
      </c>
      <c r="F18" s="4">
        <v>33.3</v>
      </c>
      <c r="G18" s="4">
        <v>31.8</v>
      </c>
      <c r="H18" s="4">
        <v>0</v>
      </c>
      <c r="I18" s="3">
        <v>0</v>
      </c>
      <c r="J18" s="3">
        <v>0</v>
      </c>
      <c r="K18" s="4">
        <v>0</v>
      </c>
      <c r="L18" s="3">
        <v>0</v>
      </c>
      <c r="M18" s="3">
        <v>0</v>
      </c>
      <c r="N18" s="3">
        <v>0</v>
      </c>
      <c r="O18" s="4">
        <v>27.39</v>
      </c>
      <c r="P18" s="3">
        <v>0</v>
      </c>
      <c r="Q18" s="4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 t="s">
        <v>136</v>
      </c>
      <c r="Y18" s="3" t="s">
        <v>30</v>
      </c>
      <c r="Z18" s="5">
        <f>IF(A18="", "", (E18+F18+H18+I18+J18+K18+L18+N18+V18+W18) - ABS(O18+P18+Q18+S18) - ABS(G18))</f>
        <v>45.21</v>
      </c>
    </row>
    <row r="19" ht="22" customHeight="1" spans="1:26" x14ac:dyDescent="0.25">
      <c r="A19" s="3" t="s">
        <v>199</v>
      </c>
      <c r="B19" s="3" t="s">
        <v>200</v>
      </c>
      <c r="C19" s="3" t="s">
        <v>201</v>
      </c>
      <c r="D19" s="3" t="s">
        <v>202</v>
      </c>
      <c r="E19" s="4">
        <v>354</v>
      </c>
      <c r="F19" s="4">
        <v>103.1</v>
      </c>
      <c r="G19" s="4">
        <v>90.3</v>
      </c>
      <c r="H19" s="4">
        <v>0</v>
      </c>
      <c r="I19" s="3">
        <v>0</v>
      </c>
      <c r="J19" s="3">
        <v>0</v>
      </c>
      <c r="K19" s="4">
        <v>0</v>
      </c>
      <c r="L19" s="3">
        <v>0</v>
      </c>
      <c r="M19" s="3">
        <v>0</v>
      </c>
      <c r="N19" s="3">
        <v>0</v>
      </c>
      <c r="O19" s="4">
        <v>117.3</v>
      </c>
      <c r="P19" s="3">
        <v>0</v>
      </c>
      <c r="Q19" s="4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 t="s">
        <v>136</v>
      </c>
      <c r="Y19" s="3" t="s">
        <v>30</v>
      </c>
      <c r="Z19" s="5">
        <f>IF(A19="", "", (E19+F19+H19+I19+J19+K19+L19+N19+V19+W19) - ABS(O19+P19+Q19+S19) - ABS(G19))</f>
        <v>249.5</v>
      </c>
    </row>
    <row r="20" ht="22" customHeight="1" spans="1:26" x14ac:dyDescent="0.25">
      <c r="A20" s="3" t="s">
        <v>203</v>
      </c>
      <c r="B20" s="3" t="s">
        <v>204</v>
      </c>
      <c r="C20" s="3" t="s">
        <v>205</v>
      </c>
      <c r="D20" s="3" t="s">
        <v>206</v>
      </c>
      <c r="E20" s="4">
        <v>719.5</v>
      </c>
      <c r="F20" s="4">
        <v>168.6</v>
      </c>
      <c r="G20" s="4">
        <v>137.3</v>
      </c>
      <c r="H20" s="4">
        <v>13.68</v>
      </c>
      <c r="I20" s="3">
        <v>0</v>
      </c>
      <c r="J20" s="3">
        <v>0</v>
      </c>
      <c r="K20" s="4">
        <v>0</v>
      </c>
      <c r="L20" s="3">
        <v>0</v>
      </c>
      <c r="M20" s="3">
        <v>0</v>
      </c>
      <c r="N20" s="3">
        <v>18</v>
      </c>
      <c r="O20" s="4">
        <v>230.57</v>
      </c>
      <c r="P20" s="3">
        <v>0</v>
      </c>
      <c r="Q20" s="4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136</v>
      </c>
      <c r="Y20" s="3" t="s">
        <v>30</v>
      </c>
      <c r="Z20" s="5">
        <f>IF(A20="", "", (E20+F20+H20+I20+J20+K20+L20+N20+V20+W20) - ABS(O20+P20+Q20+S20) - ABS(G20))</f>
        <v>551.91</v>
      </c>
    </row>
    <row r="21" ht="22" customHeight="1" spans="1:26" x14ac:dyDescent="0.25">
      <c r="A21" s="3" t="s">
        <v>207</v>
      </c>
      <c r="B21" s="3" t="s">
        <v>208</v>
      </c>
      <c r="C21" s="3" t="s">
        <v>209</v>
      </c>
      <c r="D21" s="3" t="s">
        <v>210</v>
      </c>
      <c r="E21" s="4">
        <v>136.8</v>
      </c>
      <c r="F21" s="4">
        <v>258.4</v>
      </c>
      <c r="G21" s="4">
        <v>219.6</v>
      </c>
      <c r="H21" s="4">
        <v>80</v>
      </c>
      <c r="I21" s="3">
        <v>0</v>
      </c>
      <c r="J21" s="3">
        <v>0</v>
      </c>
      <c r="K21" s="4">
        <v>0</v>
      </c>
      <c r="L21" s="3">
        <v>2.45</v>
      </c>
      <c r="M21" s="3">
        <v>0</v>
      </c>
      <c r="N21" s="3">
        <v>0</v>
      </c>
      <c r="O21" s="4">
        <v>92.85</v>
      </c>
      <c r="P21" s="3">
        <v>0</v>
      </c>
      <c r="Q21" s="4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 t="s">
        <v>136</v>
      </c>
      <c r="Y21" s="3" t="s">
        <v>30</v>
      </c>
      <c r="Z21" s="5">
        <f>IF(A21="", "", (E21+F21+H21+I21+J21+K21+L21+N21+V21+W21) - ABS(O21+P21+Q21+S21) - ABS(G21))</f>
        <v>165.2</v>
      </c>
    </row>
    <row r="22" ht="22" customHeight="1" spans="1:26" x14ac:dyDescent="0.25">
      <c r="A22" s="3" t="s">
        <v>64</v>
      </c>
      <c r="B22" s="3" t="s">
        <v>211</v>
      </c>
      <c r="C22" s="3" t="s">
        <v>212</v>
      </c>
      <c r="D22" s="3" t="s">
        <v>213</v>
      </c>
      <c r="E22" s="4">
        <v>364.7</v>
      </c>
      <c r="F22" s="4">
        <v>305</v>
      </c>
      <c r="G22" s="4">
        <v>254.6</v>
      </c>
      <c r="H22" s="4">
        <v>0</v>
      </c>
      <c r="I22" s="3">
        <v>0</v>
      </c>
      <c r="J22" s="3">
        <v>0</v>
      </c>
      <c r="K22" s="4">
        <v>0</v>
      </c>
      <c r="L22" s="3">
        <v>0</v>
      </c>
      <c r="M22" s="3">
        <v>0</v>
      </c>
      <c r="N22" s="3">
        <v>0</v>
      </c>
      <c r="O22" s="4">
        <v>161.73</v>
      </c>
      <c r="P22" s="3">
        <v>0</v>
      </c>
      <c r="Q22" s="4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136</v>
      </c>
      <c r="Y22" s="3" t="s">
        <v>30</v>
      </c>
      <c r="Z22" s="5">
        <f>IF(A22="", "", (E22+F22+H22+I22+J22+K22+L22+N22+V22+W22) - ABS(O22+P22+Q22+S22) - ABS(G22))</f>
        <v>253.37</v>
      </c>
    </row>
    <row r="23" ht="22" customHeight="1" spans="1:26" x14ac:dyDescent="0.25">
      <c r="A23" s="3" t="s">
        <v>214</v>
      </c>
      <c r="B23" s="3" t="s">
        <v>215</v>
      </c>
      <c r="C23" s="3" t="s">
        <v>216</v>
      </c>
      <c r="D23" s="3" t="s">
        <v>217</v>
      </c>
      <c r="E23" s="4">
        <v>74.2</v>
      </c>
      <c r="F23" s="4">
        <v>108</v>
      </c>
      <c r="G23" s="4">
        <v>89.6</v>
      </c>
      <c r="H23" s="4">
        <v>5.32</v>
      </c>
      <c r="I23" s="3">
        <v>0</v>
      </c>
      <c r="J23" s="3">
        <v>0</v>
      </c>
      <c r="K23" s="4">
        <v>0</v>
      </c>
      <c r="L23" s="3">
        <v>0</v>
      </c>
      <c r="M23" s="3">
        <v>0</v>
      </c>
      <c r="N23" s="3">
        <v>0</v>
      </c>
      <c r="O23" s="4">
        <v>43.94</v>
      </c>
      <c r="P23" s="3">
        <v>0</v>
      </c>
      <c r="Q23" s="4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 t="s">
        <v>136</v>
      </c>
      <c r="Y23" s="3" t="s">
        <v>30</v>
      </c>
      <c r="Z23" s="5">
        <f>IF(A23="", "", (E23+F23+H23+I23+J23+K23+L23+N23+V23+W23) - ABS(O23+P23+Q23+S23) - ABS(G23))</f>
        <v>53.98</v>
      </c>
    </row>
    <row r="24" ht="22" customHeight="1" spans="1:26" x14ac:dyDescent="0.25">
      <c r="A24" s="3" t="s">
        <v>218</v>
      </c>
      <c r="B24" s="3" t="s">
        <v>219</v>
      </c>
      <c r="C24" s="3" t="s">
        <v>220</v>
      </c>
      <c r="D24" s="3" t="s">
        <v>221</v>
      </c>
      <c r="E24" s="4">
        <v>320.1</v>
      </c>
      <c r="F24" s="4">
        <v>83.4</v>
      </c>
      <c r="G24" s="4">
        <v>66.3</v>
      </c>
      <c r="H24" s="4">
        <v>0</v>
      </c>
      <c r="I24" s="3">
        <v>0</v>
      </c>
      <c r="J24" s="3">
        <v>0</v>
      </c>
      <c r="K24" s="4">
        <v>5</v>
      </c>
      <c r="L24" s="3">
        <v>0</v>
      </c>
      <c r="M24" s="3">
        <v>0</v>
      </c>
      <c r="N24" s="3">
        <v>0</v>
      </c>
      <c r="O24" s="4">
        <v>111.83</v>
      </c>
      <c r="P24" s="3">
        <v>0</v>
      </c>
      <c r="Q24" s="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136</v>
      </c>
      <c r="Y24" s="3" t="s">
        <v>30</v>
      </c>
      <c r="Z24" s="5">
        <f>IF(A24="", "", (E24+F24+H24+I24+J24+K24+L24+N24+V24+W24) - ABS(O24+P24+Q24+S24) - ABS(G24))</f>
        <v>230.37</v>
      </c>
    </row>
    <row r="25" ht="22" customHeight="1" spans="1:26" x14ac:dyDescent="0.25">
      <c r="A25" s="3" t="s">
        <v>222</v>
      </c>
      <c r="B25" s="3" t="s">
        <v>223</v>
      </c>
      <c r="C25" s="3" t="s">
        <v>224</v>
      </c>
      <c r="D25" s="3" t="s">
        <v>225</v>
      </c>
      <c r="E25" s="4">
        <v>150.2</v>
      </c>
      <c r="F25" s="4">
        <v>0</v>
      </c>
      <c r="G25" s="4">
        <v>0</v>
      </c>
      <c r="H25" s="4">
        <v>0</v>
      </c>
      <c r="I25" s="3">
        <v>0</v>
      </c>
      <c r="J25" s="3">
        <v>0</v>
      </c>
      <c r="K25" s="4">
        <v>4</v>
      </c>
      <c r="L25" s="3">
        <v>0</v>
      </c>
      <c r="M25" s="3">
        <v>0</v>
      </c>
      <c r="N25" s="3">
        <v>0</v>
      </c>
      <c r="O25" s="4">
        <v>36.96</v>
      </c>
      <c r="P25" s="3">
        <v>0</v>
      </c>
      <c r="Q25" s="4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 t="s">
        <v>136</v>
      </c>
      <c r="Y25" s="3" t="s">
        <v>30</v>
      </c>
      <c r="Z25" s="5">
        <f>IF(A25="", "", (E25+F25+H25+I25+J25+K25+L25+N25+V25+W25) - ABS(O25+P25+Q25+S25) - ABS(G25))</f>
        <v>117.24</v>
      </c>
    </row>
    <row r="26" ht="22" customHeight="1" spans="1:26" x14ac:dyDescent="0.25">
      <c r="A26" s="3" t="s">
        <v>226</v>
      </c>
      <c r="B26" s="3" t="s">
        <v>227</v>
      </c>
      <c r="C26" s="3" t="s">
        <v>228</v>
      </c>
      <c r="D26" s="3" t="s">
        <v>229</v>
      </c>
      <c r="E26" s="4">
        <v>67.1</v>
      </c>
      <c r="F26" s="4">
        <v>0</v>
      </c>
      <c r="G26" s="4">
        <v>0</v>
      </c>
      <c r="H26" s="4">
        <v>0</v>
      </c>
      <c r="I26" s="3">
        <v>0</v>
      </c>
      <c r="J26" s="3">
        <v>0</v>
      </c>
      <c r="K26" s="4">
        <v>0</v>
      </c>
      <c r="L26" s="3">
        <v>0</v>
      </c>
      <c r="M26" s="3">
        <v>0</v>
      </c>
      <c r="N26" s="3">
        <v>0</v>
      </c>
      <c r="O26" s="4">
        <v>16.18</v>
      </c>
      <c r="P26" s="3">
        <v>0</v>
      </c>
      <c r="Q26" s="4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 t="s">
        <v>136</v>
      </c>
      <c r="Y26" s="3" t="s">
        <v>30</v>
      </c>
      <c r="Z26" s="5">
        <f>IF(A26="", "", (E26+F26+H26+I26+J26+K26+L26+N26+V26+W26) - ABS(O26+P26+Q26+S26) - ABS(G26))</f>
        <v>50.92</v>
      </c>
    </row>
    <row r="27" ht="22" customHeight="1" spans="1:26" x14ac:dyDescent="0.25">
      <c r="A27" s="3" t="s">
        <v>230</v>
      </c>
      <c r="B27" s="3" t="s">
        <v>231</v>
      </c>
      <c r="C27" s="3" t="s">
        <v>232</v>
      </c>
      <c r="D27" s="3" t="s">
        <v>233</v>
      </c>
      <c r="E27" s="4">
        <v>301.1</v>
      </c>
      <c r="F27" s="4">
        <v>367.8</v>
      </c>
      <c r="G27" s="4">
        <v>322.7</v>
      </c>
      <c r="H27" s="4">
        <v>340</v>
      </c>
      <c r="I27" s="3">
        <v>0</v>
      </c>
      <c r="J27" s="3">
        <v>0</v>
      </c>
      <c r="K27" s="4">
        <v>5</v>
      </c>
      <c r="L27" s="3">
        <v>0</v>
      </c>
      <c r="M27" s="3">
        <v>0</v>
      </c>
      <c r="N27" s="3">
        <v>0</v>
      </c>
      <c r="O27" s="4">
        <v>168.2</v>
      </c>
      <c r="P27" s="3">
        <v>0</v>
      </c>
      <c r="Q27" s="4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 t="s">
        <v>136</v>
      </c>
      <c r="Y27" s="3" t="s">
        <v>30</v>
      </c>
      <c r="Z27" s="5">
        <f>IF(A27="", "", (E27+F27+H27+I27+J27+K27+L27+N27+V27+W27) - ABS(O27+P27+Q27+S27) - ABS(G27))</f>
        <v>523</v>
      </c>
    </row>
    <row r="28" ht="22" customHeight="1" spans="1:26" x14ac:dyDescent="0.25">
      <c r="A28" s="3" t="s">
        <v>31</v>
      </c>
      <c r="B28" s="3" t="s">
        <v>234</v>
      </c>
      <c r="C28" s="3" t="s">
        <v>235</v>
      </c>
      <c r="D28" s="3" t="s">
        <v>236</v>
      </c>
      <c r="E28" s="4">
        <v>364.9</v>
      </c>
      <c r="F28" s="4">
        <v>243.9</v>
      </c>
      <c r="G28" s="4">
        <v>227.9</v>
      </c>
      <c r="H28" s="4">
        <v>347.5</v>
      </c>
      <c r="I28" s="3">
        <v>0</v>
      </c>
      <c r="J28" s="3">
        <v>0</v>
      </c>
      <c r="K28" s="4">
        <v>0</v>
      </c>
      <c r="L28" s="3">
        <v>0</v>
      </c>
      <c r="M28" s="3">
        <v>0</v>
      </c>
      <c r="N28" s="3">
        <v>0</v>
      </c>
      <c r="O28" s="4">
        <v>150.47</v>
      </c>
      <c r="P28" s="3">
        <v>0</v>
      </c>
      <c r="Q28" s="4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 t="s">
        <v>136</v>
      </c>
      <c r="Y28" s="3" t="s">
        <v>30</v>
      </c>
      <c r="Z28" s="5">
        <f>IF(A28="", "", (E28+F28+H28+I28+J28+K28+L28+N28+V28+W28) - ABS(O28+P28+Q28+S28) - ABS(G28))</f>
        <v>577.93</v>
      </c>
    </row>
    <row r="29" ht="22" customHeight="1" spans="1:26" x14ac:dyDescent="0.25">
      <c r="A29" s="3" t="s">
        <v>237</v>
      </c>
      <c r="B29" s="3" t="s">
        <v>238</v>
      </c>
      <c r="C29" s="3" t="s">
        <v>239</v>
      </c>
      <c r="D29" s="3" t="s">
        <v>240</v>
      </c>
      <c r="E29" s="4">
        <v>280.7</v>
      </c>
      <c r="F29" s="4">
        <v>771.2</v>
      </c>
      <c r="G29" s="4">
        <v>625</v>
      </c>
      <c r="H29" s="4">
        <v>0</v>
      </c>
      <c r="I29" s="3">
        <v>0</v>
      </c>
      <c r="J29" s="3">
        <v>0</v>
      </c>
      <c r="K29" s="4">
        <v>0</v>
      </c>
      <c r="L29" s="3">
        <v>0</v>
      </c>
      <c r="M29" s="3">
        <v>0</v>
      </c>
      <c r="N29" s="3">
        <v>7</v>
      </c>
      <c r="O29" s="4">
        <v>273.05</v>
      </c>
      <c r="P29" s="3">
        <v>0</v>
      </c>
      <c r="Q29" s="4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136</v>
      </c>
      <c r="Y29" s="3" t="s">
        <v>30</v>
      </c>
      <c r="Z29" s="5">
        <f>IF(A29="", "", (E29+F29+H29+I29+J29+K29+L29+N29+V29+W29) - ABS(O29+P29+Q29+S29) - ABS(G29))</f>
        <v>160.85</v>
      </c>
    </row>
    <row r="30" ht="22" customHeight="1" spans="1:26" x14ac:dyDescent="0.25">
      <c r="A30" s="3" t="s">
        <v>61</v>
      </c>
      <c r="B30" s="3" t="s">
        <v>241</v>
      </c>
      <c r="C30" s="3" t="s">
        <v>242</v>
      </c>
      <c r="D30" s="3" t="s">
        <v>243</v>
      </c>
      <c r="E30" s="4">
        <v>530.6</v>
      </c>
      <c r="F30" s="4">
        <v>154.5</v>
      </c>
      <c r="G30" s="4">
        <v>141.3</v>
      </c>
      <c r="H30" s="4">
        <v>91.8</v>
      </c>
      <c r="I30" s="3">
        <v>0</v>
      </c>
      <c r="J30" s="3">
        <v>0</v>
      </c>
      <c r="K30" s="4">
        <v>21</v>
      </c>
      <c r="L30" s="3">
        <v>0</v>
      </c>
      <c r="M30" s="3">
        <v>0</v>
      </c>
      <c r="N30" s="3">
        <v>7</v>
      </c>
      <c r="O30" s="4">
        <v>158.33</v>
      </c>
      <c r="P30" s="3">
        <v>0</v>
      </c>
      <c r="Q30" s="4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 t="s">
        <v>136</v>
      </c>
      <c r="Y30" s="3" t="s">
        <v>30</v>
      </c>
      <c r="Z30" s="5">
        <f>IF(A30="", "", (E30+F30+H30+I30+J30+K30+L30+N30+V30+W30) - ABS(O30+P30+Q30+S30) - ABS(G30))</f>
        <v>505.27</v>
      </c>
    </row>
    <row r="31" ht="22" customHeight="1" spans="1:26" x14ac:dyDescent="0.25">
      <c r="A31" s="3" t="s">
        <v>244</v>
      </c>
      <c r="B31" s="3" t="s">
        <v>245</v>
      </c>
      <c r="C31" s="3" t="s">
        <v>246</v>
      </c>
      <c r="D31" s="3" t="s">
        <v>247</v>
      </c>
      <c r="E31" s="4">
        <v>488.7</v>
      </c>
      <c r="F31" s="4">
        <v>14.9</v>
      </c>
      <c r="G31" s="4">
        <v>14.9</v>
      </c>
      <c r="H31" s="4">
        <v>0</v>
      </c>
      <c r="I31" s="3">
        <v>0</v>
      </c>
      <c r="J31" s="3">
        <v>0</v>
      </c>
      <c r="K31" s="4">
        <v>0</v>
      </c>
      <c r="L31" s="3">
        <v>0</v>
      </c>
      <c r="M31" s="3">
        <v>0</v>
      </c>
      <c r="N31" s="3">
        <v>0</v>
      </c>
      <c r="O31" s="4">
        <v>125.5</v>
      </c>
      <c r="P31" s="3">
        <v>0</v>
      </c>
      <c r="Q31" s="4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 t="s">
        <v>136</v>
      </c>
      <c r="Y31" s="3" t="s">
        <v>30</v>
      </c>
      <c r="Z31" s="5">
        <f>IF(A31="", "", (E31+F31+H31+I31+J31+K31+L31+N31+V31+W31) - ABS(O31+P31+Q31+S31) - ABS(G31))</f>
        <v>363.2</v>
      </c>
    </row>
    <row r="32" ht="22" customHeight="1" spans="1:26" x14ac:dyDescent="0.25">
      <c r="A32" s="3" t="s">
        <v>248</v>
      </c>
      <c r="B32" s="3" t="s">
        <v>249</v>
      </c>
      <c r="C32" s="3" t="s">
        <v>250</v>
      </c>
      <c r="D32" s="3" t="s">
        <v>251</v>
      </c>
      <c r="E32" s="4">
        <v>12</v>
      </c>
      <c r="F32" s="4">
        <v>37.5</v>
      </c>
      <c r="G32" s="4">
        <v>33.4</v>
      </c>
      <c r="H32" s="4">
        <v>0</v>
      </c>
      <c r="I32" s="3">
        <v>0</v>
      </c>
      <c r="J32" s="3">
        <v>0</v>
      </c>
      <c r="K32" s="4">
        <v>1</v>
      </c>
      <c r="L32" s="3">
        <v>0</v>
      </c>
      <c r="M32" s="3">
        <v>0</v>
      </c>
      <c r="N32" s="3">
        <v>0</v>
      </c>
      <c r="O32" s="4">
        <v>12.1</v>
      </c>
      <c r="P32" s="3">
        <v>0</v>
      </c>
      <c r="Q32" s="4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136</v>
      </c>
      <c r="Y32" s="3" t="s">
        <v>30</v>
      </c>
      <c r="Z32" s="5">
        <f>IF(A32="", "", (E32+F32+H32+I32+J32+K32+L32+N32+V32+W32) - ABS(O32+P32+Q32+S32) - ABS(G32))</f>
        <v>5</v>
      </c>
    </row>
    <row r="33" ht="22" customHeight="1" spans="1:26" x14ac:dyDescent="0.25">
      <c r="A33" s="3" t="s">
        <v>252</v>
      </c>
      <c r="B33" s="3" t="s">
        <v>253</v>
      </c>
      <c r="C33" s="3" t="s">
        <v>254</v>
      </c>
      <c r="D33" s="3" t="s">
        <v>255</v>
      </c>
      <c r="E33" s="4">
        <v>259.2</v>
      </c>
      <c r="F33" s="4">
        <v>195.9</v>
      </c>
      <c r="G33" s="4">
        <v>166.4</v>
      </c>
      <c r="H33" s="4">
        <v>0</v>
      </c>
      <c r="I33" s="3">
        <v>0</v>
      </c>
      <c r="J33" s="3">
        <v>0</v>
      </c>
      <c r="K33" s="4">
        <v>2</v>
      </c>
      <c r="L33" s="3">
        <v>0</v>
      </c>
      <c r="M33" s="3">
        <v>17.1</v>
      </c>
      <c r="N33" s="3">
        <v>0</v>
      </c>
      <c r="O33" s="4">
        <v>123.91</v>
      </c>
      <c r="P33" s="3">
        <v>0</v>
      </c>
      <c r="Q33" s="4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 t="s">
        <v>136</v>
      </c>
      <c r="Y33" s="3" t="s">
        <v>30</v>
      </c>
      <c r="Z33" s="5">
        <f>IF(A33="", "", (E33+F33+H33+I33+J33+K33+L33+N33+V33+W33) - ABS(O33+P33+Q33+S33) - ABS(G33))</f>
        <v>166.79</v>
      </c>
    </row>
    <row r="34" ht="22" customHeight="1" spans="1:26" x14ac:dyDescent="0.25">
      <c r="A34" s="3" t="s">
        <v>79</v>
      </c>
      <c r="B34" s="3" t="s">
        <v>256</v>
      </c>
      <c r="C34" s="3" t="s">
        <v>257</v>
      </c>
      <c r="D34" s="3" t="s">
        <v>258</v>
      </c>
      <c r="E34" s="4">
        <v>139.8</v>
      </c>
      <c r="F34" s="4">
        <v>75.1</v>
      </c>
      <c r="G34" s="4">
        <v>54</v>
      </c>
      <c r="H34" s="4">
        <v>0</v>
      </c>
      <c r="I34" s="3">
        <v>0</v>
      </c>
      <c r="J34" s="3">
        <v>0</v>
      </c>
      <c r="K34" s="4">
        <v>0</v>
      </c>
      <c r="L34" s="3">
        <v>0</v>
      </c>
      <c r="M34" s="3">
        <v>0</v>
      </c>
      <c r="N34" s="3">
        <v>0</v>
      </c>
      <c r="O34" s="4">
        <v>56.22</v>
      </c>
      <c r="P34" s="3">
        <v>0</v>
      </c>
      <c r="Q34" s="4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 t="s">
        <v>136</v>
      </c>
      <c r="Y34" s="3" t="s">
        <v>30</v>
      </c>
      <c r="Z34" s="5">
        <f>IF(A34="", "", (E34+F34+H34+I34+J34+K34+L34+N34+V34+W34) - ABS(O34+P34+Q34+S34) - ABS(G34))</f>
        <v>104.68</v>
      </c>
    </row>
    <row r="35" ht="22" customHeight="1" spans="1:26" x14ac:dyDescent="0.25">
      <c r="A35" s="3" t="s">
        <v>259</v>
      </c>
      <c r="B35" s="3" t="s">
        <v>260</v>
      </c>
      <c r="C35" s="3" t="s">
        <v>261</v>
      </c>
      <c r="D35" s="3" t="s">
        <v>262</v>
      </c>
      <c r="E35" s="4">
        <v>191.4</v>
      </c>
      <c r="F35" s="4">
        <v>251.2</v>
      </c>
      <c r="G35" s="4">
        <v>206.9</v>
      </c>
      <c r="H35" s="4">
        <v>10.64</v>
      </c>
      <c r="I35" s="3">
        <v>0</v>
      </c>
      <c r="J35" s="3">
        <v>0</v>
      </c>
      <c r="K35" s="4">
        <v>2</v>
      </c>
      <c r="L35" s="3">
        <v>0</v>
      </c>
      <c r="M35" s="3">
        <v>0</v>
      </c>
      <c r="N35" s="3">
        <v>0</v>
      </c>
      <c r="O35" s="4">
        <v>106.22</v>
      </c>
      <c r="P35" s="3">
        <v>0</v>
      </c>
      <c r="Q35" s="4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 t="s">
        <v>136</v>
      </c>
      <c r="Y35" s="3" t="s">
        <v>30</v>
      </c>
      <c r="Z35" s="5">
        <f>IF(A35="", "", (E35+F35+H35+I35+J35+K35+L35+N35+V35+W35) - ABS(O35+P35+Q35+S35) - ABS(G35))</f>
        <v>142.12</v>
      </c>
    </row>
    <row r="36" ht="22" customHeight="1" spans="1:26" x14ac:dyDescent="0.25">
      <c r="A36" s="3" t="s">
        <v>263</v>
      </c>
      <c r="B36" s="3" t="s">
        <v>264</v>
      </c>
      <c r="C36" s="3" t="s">
        <v>265</v>
      </c>
      <c r="D36" s="3" t="s">
        <v>266</v>
      </c>
      <c r="E36" s="4">
        <v>784.6</v>
      </c>
      <c r="F36" s="4">
        <v>0</v>
      </c>
      <c r="G36" s="4">
        <v>0</v>
      </c>
      <c r="H36" s="4">
        <v>31</v>
      </c>
      <c r="I36" s="3">
        <v>0</v>
      </c>
      <c r="J36" s="3">
        <v>0</v>
      </c>
      <c r="K36" s="4">
        <v>7.2</v>
      </c>
      <c r="L36" s="3">
        <v>0</v>
      </c>
      <c r="M36" s="3">
        <v>0</v>
      </c>
      <c r="N36" s="3">
        <v>14</v>
      </c>
      <c r="O36" s="4">
        <v>187.68</v>
      </c>
      <c r="P36" s="3">
        <v>0</v>
      </c>
      <c r="Q36" s="4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 t="s">
        <v>136</v>
      </c>
      <c r="Y36" s="3" t="s">
        <v>30</v>
      </c>
      <c r="Z36" s="5">
        <f>IF(A36="", "", (E36+F36+H36+I36+J36+K36+L36+N36+V36+W36) - ABS(O36+P36+Q36+S36) - ABS(G36))</f>
        <v>649.12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4" width="20" customWidth="1"/>
    <col min="5" max="6" width="28" customWidth="1"/>
    <col min="7" max="8" width="20" customWidth="1"/>
    <col min="9" max="9" width="34" customWidth="1"/>
    <col min="10" max="10" width="24" customWidth="1"/>
  </cols>
  <sheetData>
    <row r="1" ht="28" customHeight="1" spans="1:10" x14ac:dyDescent="0.25">
      <c r="A1" s="7" t="s">
        <v>267</v>
      </c>
      <c r="B1" s="7" t="s">
        <v>268</v>
      </c>
      <c r="C1" s="7" t="s">
        <v>269</v>
      </c>
      <c r="D1" s="7" t="s">
        <v>270</v>
      </c>
      <c r="E1" s="7" t="s">
        <v>271</v>
      </c>
      <c r="F1" s="7" t="s">
        <v>272</v>
      </c>
      <c r="G1" s="7" t="s">
        <v>273</v>
      </c>
      <c r="H1" s="7" t="s">
        <v>274</v>
      </c>
      <c r="I1" s="7" t="s">
        <v>275</v>
      </c>
      <c r="J1" s="7" t="s">
        <v>276</v>
      </c>
    </row>
    <row r="2" ht="26" customHeight="1" spans="1:10" x14ac:dyDescent="0.25">
      <c r="A2" s="8" t="s">
        <v>277</v>
      </c>
      <c r="B2" s="9" t="s">
        <v>278</v>
      </c>
      <c r="C2" s="10" t="s">
        <v>70</v>
      </c>
      <c r="D2" s="10" t="s">
        <v>279</v>
      </c>
      <c r="E2" s="10" t="s">
        <v>280</v>
      </c>
      <c r="F2" s="10" t="s">
        <v>279</v>
      </c>
      <c r="G2" s="11" t="s">
        <v>281</v>
      </c>
      <c r="H2" s="11" t="s">
        <v>279</v>
      </c>
      <c r="I2" s="12" t="s">
        <v>279</v>
      </c>
      <c r="J2" s="13">
        <v>50</v>
      </c>
    </row>
    <row r="3" ht="26" customHeight="1" spans="1:10" x14ac:dyDescent="0.25">
      <c r="A3" s="14" t="s">
        <v>282</v>
      </c>
      <c r="B3" s="15" t="s">
        <v>283</v>
      </c>
      <c r="C3" s="16" t="s">
        <v>67</v>
      </c>
      <c r="D3" s="16" t="s">
        <v>132</v>
      </c>
      <c r="E3" s="16" t="s">
        <v>133</v>
      </c>
      <c r="F3" s="16" t="s">
        <v>133</v>
      </c>
      <c r="G3" s="17" t="s">
        <v>134</v>
      </c>
      <c r="H3" s="17" t="s">
        <v>134</v>
      </c>
      <c r="I3" s="18" t="s">
        <v>279</v>
      </c>
      <c r="J3" s="19">
        <v>50</v>
      </c>
    </row>
    <row r="4" ht="26" customHeight="1" spans="1:10" x14ac:dyDescent="0.25">
      <c r="A4" s="8" t="s">
        <v>284</v>
      </c>
      <c r="B4" s="9" t="s">
        <v>58</v>
      </c>
      <c r="C4" s="10" t="s">
        <v>58</v>
      </c>
      <c r="D4" s="10" t="s">
        <v>279</v>
      </c>
      <c r="E4" s="10" t="s">
        <v>285</v>
      </c>
      <c r="F4" s="10" t="s">
        <v>279</v>
      </c>
      <c r="G4" s="11" t="s">
        <v>286</v>
      </c>
      <c r="H4" s="11" t="s">
        <v>279</v>
      </c>
      <c r="I4" s="12" t="s">
        <v>279</v>
      </c>
      <c r="J4" s="13">
        <v>50</v>
      </c>
    </row>
    <row r="5" ht="26" customHeight="1" spans="1:10" x14ac:dyDescent="0.25">
      <c r="A5" s="14" t="s">
        <v>287</v>
      </c>
      <c r="B5" s="15" t="s">
        <v>288</v>
      </c>
      <c r="C5" s="16" t="s">
        <v>103</v>
      </c>
      <c r="D5" s="16" t="s">
        <v>279</v>
      </c>
      <c r="E5" s="16" t="s">
        <v>289</v>
      </c>
      <c r="F5" s="16" t="s">
        <v>279</v>
      </c>
      <c r="G5" s="17" t="s">
        <v>290</v>
      </c>
      <c r="H5" s="17" t="s">
        <v>279</v>
      </c>
      <c r="I5" s="18" t="s">
        <v>279</v>
      </c>
      <c r="J5" s="19">
        <v>50</v>
      </c>
    </row>
    <row r="6" ht="26" customHeight="1" spans="1:10" x14ac:dyDescent="0.25">
      <c r="A6" s="8" t="s">
        <v>291</v>
      </c>
      <c r="B6" s="9" t="s">
        <v>226</v>
      </c>
      <c r="C6" s="10" t="s">
        <v>88</v>
      </c>
      <c r="D6" s="10" t="s">
        <v>226</v>
      </c>
      <c r="E6" s="10" t="s">
        <v>292</v>
      </c>
      <c r="F6" s="10" t="s">
        <v>227</v>
      </c>
      <c r="G6" s="11" t="s">
        <v>228</v>
      </c>
      <c r="H6" s="11" t="s">
        <v>228</v>
      </c>
      <c r="I6" s="12" t="s">
        <v>279</v>
      </c>
      <c r="J6" s="13">
        <v>50</v>
      </c>
    </row>
    <row r="7" ht="26" customHeight="1" spans="1:10" x14ac:dyDescent="0.25">
      <c r="A7" s="14" t="s">
        <v>293</v>
      </c>
      <c r="B7" s="15" t="s">
        <v>294</v>
      </c>
      <c r="C7" s="16" t="s">
        <v>294</v>
      </c>
      <c r="D7" s="16" t="s">
        <v>279</v>
      </c>
      <c r="E7" s="16" t="s">
        <v>295</v>
      </c>
      <c r="F7" s="16" t="s">
        <v>279</v>
      </c>
      <c r="G7" s="17" t="s">
        <v>296</v>
      </c>
      <c r="H7" s="17" t="s">
        <v>279</v>
      </c>
      <c r="I7" s="18" t="s">
        <v>279</v>
      </c>
      <c r="J7" s="19">
        <v>50</v>
      </c>
    </row>
    <row r="8" ht="26" customHeight="1" spans="1:10" x14ac:dyDescent="0.25">
      <c r="A8" s="8" t="s">
        <v>297</v>
      </c>
      <c r="B8" s="9" t="s">
        <v>298</v>
      </c>
      <c r="C8" s="10" t="s">
        <v>298</v>
      </c>
      <c r="D8" s="10" t="s">
        <v>156</v>
      </c>
      <c r="E8" s="10" t="s">
        <v>299</v>
      </c>
      <c r="F8" s="10" t="s">
        <v>157</v>
      </c>
      <c r="G8" s="11" t="s">
        <v>158</v>
      </c>
      <c r="H8" s="11" t="s">
        <v>158</v>
      </c>
      <c r="I8" s="12" t="s">
        <v>279</v>
      </c>
      <c r="J8" s="13">
        <v>60</v>
      </c>
    </row>
    <row r="9" ht="26" customHeight="1" spans="1:10" x14ac:dyDescent="0.25">
      <c r="A9" s="14" t="s">
        <v>300</v>
      </c>
      <c r="B9" s="15" t="s">
        <v>160</v>
      </c>
      <c r="C9" s="16" t="s">
        <v>301</v>
      </c>
      <c r="D9" s="16" t="s">
        <v>160</v>
      </c>
      <c r="E9" s="16" t="s">
        <v>161</v>
      </c>
      <c r="F9" s="16" t="s">
        <v>161</v>
      </c>
      <c r="G9" s="17" t="s">
        <v>162</v>
      </c>
      <c r="H9" s="17" t="s">
        <v>162</v>
      </c>
      <c r="I9" s="18" t="s">
        <v>279</v>
      </c>
      <c r="J9" s="19">
        <v>60</v>
      </c>
    </row>
    <row r="10" ht="26" customHeight="1" spans="1:10" x14ac:dyDescent="0.25">
      <c r="A10" s="8" t="s">
        <v>302</v>
      </c>
      <c r="B10" s="9" t="s">
        <v>303</v>
      </c>
      <c r="C10" s="10" t="s">
        <v>303</v>
      </c>
      <c r="D10" s="10" t="s">
        <v>303</v>
      </c>
      <c r="E10" s="10" t="s">
        <v>304</v>
      </c>
      <c r="F10" s="10" t="s">
        <v>304</v>
      </c>
      <c r="G10" s="11" t="s">
        <v>305</v>
      </c>
      <c r="H10" s="11" t="s">
        <v>305</v>
      </c>
      <c r="I10" s="12" t="s">
        <v>279</v>
      </c>
      <c r="J10" s="13">
        <v>60</v>
      </c>
    </row>
    <row r="11" ht="26" customHeight="1" spans="1:10" x14ac:dyDescent="0.25">
      <c r="A11" s="14" t="s">
        <v>306</v>
      </c>
      <c r="B11" s="15" t="s">
        <v>85</v>
      </c>
      <c r="C11" s="16" t="s">
        <v>85</v>
      </c>
      <c r="D11" s="16" t="s">
        <v>85</v>
      </c>
      <c r="E11" s="16" t="s">
        <v>180</v>
      </c>
      <c r="F11" s="16" t="s">
        <v>180</v>
      </c>
      <c r="G11" s="17" t="s">
        <v>181</v>
      </c>
      <c r="H11" s="17" t="s">
        <v>181</v>
      </c>
      <c r="I11" s="18" t="s">
        <v>279</v>
      </c>
      <c r="J11" s="19">
        <v>60</v>
      </c>
    </row>
    <row r="12" ht="26" customHeight="1" spans="1:10" x14ac:dyDescent="0.25">
      <c r="A12" s="8" t="s">
        <v>307</v>
      </c>
      <c r="B12" s="9" t="s">
        <v>199</v>
      </c>
      <c r="C12" s="10" t="s">
        <v>43</v>
      </c>
      <c r="D12" s="10" t="s">
        <v>199</v>
      </c>
      <c r="E12" s="10" t="s">
        <v>308</v>
      </c>
      <c r="F12" s="10" t="s">
        <v>200</v>
      </c>
      <c r="G12" s="11" t="s">
        <v>201</v>
      </c>
      <c r="H12" s="11" t="s">
        <v>201</v>
      </c>
      <c r="I12" s="12" t="s">
        <v>279</v>
      </c>
      <c r="J12" s="13">
        <v>60</v>
      </c>
    </row>
    <row r="13" ht="26" customHeight="1" spans="1:10" x14ac:dyDescent="0.25">
      <c r="A13" s="14" t="s">
        <v>309</v>
      </c>
      <c r="B13" s="15" t="s">
        <v>203</v>
      </c>
      <c r="C13" s="16" t="s">
        <v>310</v>
      </c>
      <c r="D13" s="16" t="s">
        <v>203</v>
      </c>
      <c r="E13" s="16" t="s">
        <v>311</v>
      </c>
      <c r="F13" s="16" t="s">
        <v>204</v>
      </c>
      <c r="G13" s="17" t="s">
        <v>205</v>
      </c>
      <c r="H13" s="17" t="s">
        <v>205</v>
      </c>
      <c r="I13" s="18" t="s">
        <v>279</v>
      </c>
      <c r="J13" s="19">
        <v>60</v>
      </c>
    </row>
    <row r="14" ht="26" customHeight="1" spans="1:10" x14ac:dyDescent="0.25">
      <c r="A14" s="8" t="s">
        <v>312</v>
      </c>
      <c r="B14" s="9" t="s">
        <v>313</v>
      </c>
      <c r="C14" s="10" t="s">
        <v>313</v>
      </c>
      <c r="D14" s="10" t="s">
        <v>279</v>
      </c>
      <c r="E14" s="10" t="s">
        <v>314</v>
      </c>
      <c r="F14" s="10" t="s">
        <v>279</v>
      </c>
      <c r="G14" s="11" t="s">
        <v>315</v>
      </c>
      <c r="H14" s="11" t="s">
        <v>279</v>
      </c>
      <c r="I14" s="12" t="s">
        <v>279</v>
      </c>
      <c r="J14" s="13">
        <v>60</v>
      </c>
    </row>
    <row r="15" ht="26" customHeight="1" spans="1:10" x14ac:dyDescent="0.25">
      <c r="A15" s="14" t="s">
        <v>316</v>
      </c>
      <c r="B15" s="15" t="s">
        <v>317</v>
      </c>
      <c r="C15" s="16" t="s">
        <v>317</v>
      </c>
      <c r="D15" s="16" t="s">
        <v>317</v>
      </c>
      <c r="E15" s="16" t="s">
        <v>318</v>
      </c>
      <c r="F15" s="16" t="s">
        <v>319</v>
      </c>
      <c r="G15" s="17" t="s">
        <v>320</v>
      </c>
      <c r="H15" s="17" t="s">
        <v>320</v>
      </c>
      <c r="I15" s="18" t="s">
        <v>279</v>
      </c>
      <c r="J15" s="19">
        <v>60</v>
      </c>
    </row>
    <row r="16" ht="26" customHeight="1" spans="1:10" x14ac:dyDescent="0.25">
      <c r="A16" s="8" t="s">
        <v>321</v>
      </c>
      <c r="B16" s="9" t="s">
        <v>34</v>
      </c>
      <c r="C16" s="10" t="s">
        <v>34</v>
      </c>
      <c r="D16" s="10" t="s">
        <v>237</v>
      </c>
      <c r="E16" s="10" t="s">
        <v>322</v>
      </c>
      <c r="F16" s="10" t="s">
        <v>238</v>
      </c>
      <c r="G16" s="11" t="s">
        <v>239</v>
      </c>
      <c r="H16" s="11" t="s">
        <v>239</v>
      </c>
      <c r="I16" s="12" t="s">
        <v>279</v>
      </c>
      <c r="J16" s="13">
        <v>60</v>
      </c>
    </row>
    <row r="17" ht="26" customHeight="1" spans="1:10" x14ac:dyDescent="0.25">
      <c r="A17" s="14" t="s">
        <v>323</v>
      </c>
      <c r="B17" s="15" t="s">
        <v>259</v>
      </c>
      <c r="C17" s="16" t="s">
        <v>259</v>
      </c>
      <c r="D17" s="16" t="s">
        <v>259</v>
      </c>
      <c r="E17" s="16" t="s">
        <v>324</v>
      </c>
      <c r="F17" s="16" t="s">
        <v>260</v>
      </c>
      <c r="G17" s="17" t="s">
        <v>261</v>
      </c>
      <c r="H17" s="17" t="s">
        <v>261</v>
      </c>
      <c r="I17" s="18" t="s">
        <v>279</v>
      </c>
      <c r="J17" s="19">
        <v>60</v>
      </c>
    </row>
    <row r="18" ht="26" customHeight="1" spans="1:10" x14ac:dyDescent="0.25">
      <c r="A18" s="8" t="s">
        <v>325</v>
      </c>
      <c r="B18" s="9" t="s">
        <v>326</v>
      </c>
      <c r="C18" s="10" t="s">
        <v>326</v>
      </c>
      <c r="D18" s="10" t="s">
        <v>327</v>
      </c>
      <c r="E18" s="10" t="s">
        <v>328</v>
      </c>
      <c r="F18" s="10" t="s">
        <v>328</v>
      </c>
      <c r="G18" s="11" t="s">
        <v>329</v>
      </c>
      <c r="H18" s="11" t="s">
        <v>329</v>
      </c>
      <c r="I18" s="12" t="s">
        <v>279</v>
      </c>
      <c r="J18" s="13">
        <v>50</v>
      </c>
    </row>
    <row r="19" ht="26" customHeight="1" spans="1:10" x14ac:dyDescent="0.25">
      <c r="A19" s="14" t="s">
        <v>330</v>
      </c>
      <c r="B19" s="15" t="s">
        <v>46</v>
      </c>
      <c r="C19" s="16" t="s">
        <v>46</v>
      </c>
      <c r="D19" s="16" t="s">
        <v>279</v>
      </c>
      <c r="E19" s="16" t="s">
        <v>331</v>
      </c>
      <c r="F19" s="16" t="s">
        <v>279</v>
      </c>
      <c r="G19" s="17" t="s">
        <v>332</v>
      </c>
      <c r="H19" s="17" t="s">
        <v>279</v>
      </c>
      <c r="I19" s="18" t="s">
        <v>279</v>
      </c>
      <c r="J19" s="19">
        <v>50</v>
      </c>
    </row>
    <row r="20" ht="26" customHeight="1" spans="1:10" x14ac:dyDescent="0.25">
      <c r="A20" s="8" t="s">
        <v>333</v>
      </c>
      <c r="B20" s="9" t="s">
        <v>334</v>
      </c>
      <c r="C20" s="10" t="s">
        <v>334</v>
      </c>
      <c r="D20" s="10" t="s">
        <v>334</v>
      </c>
      <c r="E20" s="10" t="s">
        <v>335</v>
      </c>
      <c r="F20" s="10" t="s">
        <v>335</v>
      </c>
      <c r="G20" s="11" t="s">
        <v>336</v>
      </c>
      <c r="H20" s="11" t="s">
        <v>336</v>
      </c>
      <c r="I20" s="12" t="s">
        <v>279</v>
      </c>
      <c r="J20" s="13">
        <v>50</v>
      </c>
    </row>
    <row r="21" ht="26" customHeight="1" spans="1:10" x14ac:dyDescent="0.25">
      <c r="A21" s="14" t="s">
        <v>337</v>
      </c>
      <c r="B21" s="15" t="s">
        <v>137</v>
      </c>
      <c r="C21" s="16" t="s">
        <v>338</v>
      </c>
      <c r="D21" s="16" t="s">
        <v>137</v>
      </c>
      <c r="E21" s="16" t="s">
        <v>138</v>
      </c>
      <c r="F21" s="16" t="s">
        <v>138</v>
      </c>
      <c r="G21" s="17" t="s">
        <v>139</v>
      </c>
      <c r="H21" s="17" t="s">
        <v>139</v>
      </c>
      <c r="I21" s="18" t="s">
        <v>279</v>
      </c>
      <c r="J21" s="19">
        <v>50</v>
      </c>
    </row>
    <row r="22" ht="26" customHeight="1" spans="1:10" x14ac:dyDescent="0.25">
      <c r="A22" s="8" t="s">
        <v>339</v>
      </c>
      <c r="B22" s="9" t="s">
        <v>340</v>
      </c>
      <c r="C22" s="10" t="s">
        <v>97</v>
      </c>
      <c r="D22" s="10" t="s">
        <v>218</v>
      </c>
      <c r="E22" s="10" t="s">
        <v>219</v>
      </c>
      <c r="F22" s="10" t="s">
        <v>219</v>
      </c>
      <c r="G22" s="11" t="s">
        <v>220</v>
      </c>
      <c r="H22" s="11" t="s">
        <v>220</v>
      </c>
      <c r="I22" s="12" t="s">
        <v>279</v>
      </c>
      <c r="J22" s="13">
        <v>50</v>
      </c>
    </row>
    <row r="23" ht="26" customHeight="1" spans="1:10" x14ac:dyDescent="0.25">
      <c r="A23" s="14" t="s">
        <v>341</v>
      </c>
      <c r="B23" s="15" t="s">
        <v>342</v>
      </c>
      <c r="C23" s="16" t="s">
        <v>342</v>
      </c>
      <c r="D23" s="16" t="s">
        <v>279</v>
      </c>
      <c r="E23" s="16" t="s">
        <v>343</v>
      </c>
      <c r="F23" s="16" t="s">
        <v>279</v>
      </c>
      <c r="G23" s="17" t="s">
        <v>344</v>
      </c>
      <c r="H23" s="17" t="s">
        <v>279</v>
      </c>
      <c r="I23" s="18" t="s">
        <v>279</v>
      </c>
      <c r="J23" s="19">
        <v>50</v>
      </c>
    </row>
    <row r="24" ht="26" customHeight="1" spans="1:10" x14ac:dyDescent="0.25">
      <c r="A24" s="8" t="s">
        <v>345</v>
      </c>
      <c r="B24" s="9" t="s">
        <v>91</v>
      </c>
      <c r="C24" s="10" t="s">
        <v>91</v>
      </c>
      <c r="D24" s="10" t="s">
        <v>91</v>
      </c>
      <c r="E24" s="10" t="s">
        <v>141</v>
      </c>
      <c r="F24" s="10" t="s">
        <v>141</v>
      </c>
      <c r="G24" s="11" t="s">
        <v>142</v>
      </c>
      <c r="H24" s="11" t="s">
        <v>142</v>
      </c>
      <c r="I24" s="12" t="s">
        <v>279</v>
      </c>
      <c r="J24" s="13">
        <v>50</v>
      </c>
    </row>
    <row r="25" ht="26" customHeight="1" spans="1:10" x14ac:dyDescent="0.25">
      <c r="A25" s="14" t="s">
        <v>346</v>
      </c>
      <c r="B25" s="15" t="s">
        <v>144</v>
      </c>
      <c r="C25" s="16" t="s">
        <v>144</v>
      </c>
      <c r="D25" s="16" t="s">
        <v>144</v>
      </c>
      <c r="E25" s="16" t="s">
        <v>145</v>
      </c>
      <c r="F25" s="16" t="s">
        <v>145</v>
      </c>
      <c r="G25" s="17" t="s">
        <v>146</v>
      </c>
      <c r="H25" s="17" t="s">
        <v>146</v>
      </c>
      <c r="I25" s="18" t="s">
        <v>279</v>
      </c>
      <c r="J25" s="19">
        <v>50</v>
      </c>
    </row>
    <row r="26" ht="26" customHeight="1" spans="1:10" x14ac:dyDescent="0.25">
      <c r="A26" s="8" t="s">
        <v>347</v>
      </c>
      <c r="B26" s="9" t="s">
        <v>348</v>
      </c>
      <c r="C26" s="10" t="s">
        <v>349</v>
      </c>
      <c r="D26" s="10" t="s">
        <v>279</v>
      </c>
      <c r="E26" s="10" t="s">
        <v>350</v>
      </c>
      <c r="F26" s="10" t="s">
        <v>279</v>
      </c>
      <c r="G26" s="11" t="s">
        <v>351</v>
      </c>
      <c r="H26" s="11" t="s">
        <v>279</v>
      </c>
      <c r="I26" s="12" t="s">
        <v>279</v>
      </c>
      <c r="J26" s="13">
        <v>50</v>
      </c>
    </row>
    <row r="27" ht="26" customHeight="1" spans="1:10" x14ac:dyDescent="0.25">
      <c r="A27" s="14" t="s">
        <v>352</v>
      </c>
      <c r="B27" s="15" t="s">
        <v>152</v>
      </c>
      <c r="C27" s="16" t="s">
        <v>152</v>
      </c>
      <c r="D27" s="16" t="s">
        <v>152</v>
      </c>
      <c r="E27" s="16" t="s">
        <v>153</v>
      </c>
      <c r="F27" s="16" t="s">
        <v>153</v>
      </c>
      <c r="G27" s="17" t="s">
        <v>154</v>
      </c>
      <c r="H27" s="17" t="s">
        <v>154</v>
      </c>
      <c r="I27" s="18" t="s">
        <v>279</v>
      </c>
      <c r="J27" s="19">
        <v>50</v>
      </c>
    </row>
    <row r="28" ht="26" customHeight="1" spans="1:10" x14ac:dyDescent="0.25">
      <c r="A28" s="8" t="s">
        <v>353</v>
      </c>
      <c r="B28" s="9" t="s">
        <v>354</v>
      </c>
      <c r="C28" s="10" t="s">
        <v>354</v>
      </c>
      <c r="D28" s="10" t="s">
        <v>279</v>
      </c>
      <c r="E28" s="10" t="s">
        <v>355</v>
      </c>
      <c r="F28" s="10" t="s">
        <v>279</v>
      </c>
      <c r="G28" s="11" t="s">
        <v>356</v>
      </c>
      <c r="H28" s="11" t="s">
        <v>279</v>
      </c>
      <c r="I28" s="12" t="s">
        <v>279</v>
      </c>
      <c r="J28" s="13">
        <v>50</v>
      </c>
    </row>
    <row r="29" ht="26" customHeight="1" spans="1:10" x14ac:dyDescent="0.25">
      <c r="A29" s="14" t="s">
        <v>357</v>
      </c>
      <c r="B29" s="15" t="s">
        <v>358</v>
      </c>
      <c r="C29" s="16" t="s">
        <v>358</v>
      </c>
      <c r="D29" s="16" t="s">
        <v>359</v>
      </c>
      <c r="E29" s="16" t="s">
        <v>360</v>
      </c>
      <c r="F29" s="16" t="s">
        <v>360</v>
      </c>
      <c r="G29" s="17" t="s">
        <v>361</v>
      </c>
      <c r="H29" s="17" t="s">
        <v>361</v>
      </c>
      <c r="I29" s="18" t="s">
        <v>279</v>
      </c>
      <c r="J29" s="19">
        <v>50</v>
      </c>
    </row>
    <row r="30" ht="26" customHeight="1" spans="1:10" x14ac:dyDescent="0.25">
      <c r="A30" s="8" t="s">
        <v>362</v>
      </c>
      <c r="B30" s="9" t="s">
        <v>363</v>
      </c>
      <c r="C30" s="10" t="s">
        <v>363</v>
      </c>
      <c r="D30" s="10" t="s">
        <v>364</v>
      </c>
      <c r="E30" s="10" t="s">
        <v>365</v>
      </c>
      <c r="F30" s="10" t="s">
        <v>365</v>
      </c>
      <c r="G30" s="11" t="s">
        <v>366</v>
      </c>
      <c r="H30" s="11" t="s">
        <v>366</v>
      </c>
      <c r="I30" s="12" t="s">
        <v>279</v>
      </c>
      <c r="J30" s="13">
        <v>50</v>
      </c>
    </row>
    <row r="31" ht="26" customHeight="1" spans="1:10" x14ac:dyDescent="0.25">
      <c r="A31" s="14" t="s">
        <v>367</v>
      </c>
      <c r="B31" s="15" t="s">
        <v>37</v>
      </c>
      <c r="C31" s="16" t="s">
        <v>37</v>
      </c>
      <c r="D31" s="16" t="s">
        <v>279</v>
      </c>
      <c r="E31" s="16" t="s">
        <v>368</v>
      </c>
      <c r="F31" s="16" t="s">
        <v>279</v>
      </c>
      <c r="G31" s="17" t="s">
        <v>369</v>
      </c>
      <c r="H31" s="17" t="s">
        <v>279</v>
      </c>
      <c r="I31" s="18" t="s">
        <v>279</v>
      </c>
      <c r="J31" s="19">
        <v>50</v>
      </c>
    </row>
    <row r="32" ht="26" customHeight="1" spans="1:10" x14ac:dyDescent="0.25">
      <c r="A32" s="8" t="s">
        <v>370</v>
      </c>
      <c r="B32" s="9" t="s">
        <v>371</v>
      </c>
      <c r="C32" s="10" t="s">
        <v>371</v>
      </c>
      <c r="D32" s="10" t="s">
        <v>279</v>
      </c>
      <c r="E32" s="10" t="s">
        <v>372</v>
      </c>
      <c r="F32" s="10" t="s">
        <v>279</v>
      </c>
      <c r="G32" s="11" t="s">
        <v>373</v>
      </c>
      <c r="H32" s="11" t="s">
        <v>279</v>
      </c>
      <c r="I32" s="12" t="s">
        <v>279</v>
      </c>
      <c r="J32" s="13">
        <v>50</v>
      </c>
    </row>
    <row r="33" ht="26" customHeight="1" spans="1:10" x14ac:dyDescent="0.25">
      <c r="A33" s="14" t="s">
        <v>374</v>
      </c>
      <c r="B33" s="15" t="s">
        <v>164</v>
      </c>
      <c r="C33" s="16" t="s">
        <v>375</v>
      </c>
      <c r="D33" s="16" t="s">
        <v>164</v>
      </c>
      <c r="E33" s="16" t="s">
        <v>376</v>
      </c>
      <c r="F33" s="16" t="s">
        <v>165</v>
      </c>
      <c r="G33" s="17" t="s">
        <v>166</v>
      </c>
      <c r="H33" s="17" t="s">
        <v>166</v>
      </c>
      <c r="I33" s="18" t="s">
        <v>279</v>
      </c>
      <c r="J33" s="19">
        <v>50</v>
      </c>
    </row>
    <row r="34" ht="26" customHeight="1" spans="1:10" x14ac:dyDescent="0.25">
      <c r="A34" s="8" t="s">
        <v>377</v>
      </c>
      <c r="B34" s="9" t="s">
        <v>378</v>
      </c>
      <c r="C34" s="10" t="s">
        <v>379</v>
      </c>
      <c r="D34" s="10" t="s">
        <v>279</v>
      </c>
      <c r="E34" s="10" t="s">
        <v>380</v>
      </c>
      <c r="F34" s="10" t="s">
        <v>279</v>
      </c>
      <c r="G34" s="11" t="s">
        <v>381</v>
      </c>
      <c r="H34" s="11" t="s">
        <v>279</v>
      </c>
      <c r="I34" s="12" t="s">
        <v>279</v>
      </c>
      <c r="J34" s="13">
        <v>50</v>
      </c>
    </row>
    <row r="35" ht="26" customHeight="1" spans="1:10" x14ac:dyDescent="0.25">
      <c r="A35" s="14" t="s">
        <v>382</v>
      </c>
      <c r="B35" s="15" t="s">
        <v>383</v>
      </c>
      <c r="C35" s="16" t="s">
        <v>49</v>
      </c>
      <c r="D35" s="16" t="s">
        <v>279</v>
      </c>
      <c r="E35" s="16" t="s">
        <v>384</v>
      </c>
      <c r="F35" s="16" t="s">
        <v>279</v>
      </c>
      <c r="G35" s="17" t="s">
        <v>385</v>
      </c>
      <c r="H35" s="17" t="s">
        <v>279</v>
      </c>
      <c r="I35" s="18" t="s">
        <v>279</v>
      </c>
      <c r="J35" s="19">
        <v>50</v>
      </c>
    </row>
    <row r="36" ht="26" customHeight="1" spans="1:10" x14ac:dyDescent="0.25">
      <c r="A36" s="8" t="s">
        <v>386</v>
      </c>
      <c r="B36" s="9" t="s">
        <v>168</v>
      </c>
      <c r="C36" s="10" t="s">
        <v>387</v>
      </c>
      <c r="D36" s="10" t="s">
        <v>168</v>
      </c>
      <c r="E36" s="10" t="s">
        <v>169</v>
      </c>
      <c r="F36" s="10" t="s">
        <v>169</v>
      </c>
      <c r="G36" s="11" t="s">
        <v>170</v>
      </c>
      <c r="H36" s="11" t="s">
        <v>170</v>
      </c>
      <c r="I36" s="12" t="s">
        <v>279</v>
      </c>
      <c r="J36" s="13">
        <v>50</v>
      </c>
    </row>
    <row r="37" ht="26" customHeight="1" spans="1:10" x14ac:dyDescent="0.25">
      <c r="A37" s="14" t="s">
        <v>388</v>
      </c>
      <c r="B37" s="15" t="s">
        <v>389</v>
      </c>
      <c r="C37" s="16" t="s">
        <v>389</v>
      </c>
      <c r="D37" s="16" t="s">
        <v>172</v>
      </c>
      <c r="E37" s="16" t="s">
        <v>390</v>
      </c>
      <c r="F37" s="16" t="s">
        <v>173</v>
      </c>
      <c r="G37" s="17" t="s">
        <v>391</v>
      </c>
      <c r="H37" s="17" t="s">
        <v>392</v>
      </c>
      <c r="I37" s="18" t="s">
        <v>279</v>
      </c>
      <c r="J37" s="19">
        <v>50</v>
      </c>
    </row>
    <row r="38" ht="26" customHeight="1" spans="1:10" x14ac:dyDescent="0.25">
      <c r="A38" s="8" t="s">
        <v>393</v>
      </c>
      <c r="B38" s="9" t="s">
        <v>176</v>
      </c>
      <c r="C38" s="10" t="s">
        <v>176</v>
      </c>
      <c r="D38" s="10" t="s">
        <v>176</v>
      </c>
      <c r="E38" s="10" t="s">
        <v>394</v>
      </c>
      <c r="F38" s="10" t="s">
        <v>177</v>
      </c>
      <c r="G38" s="11" t="s">
        <v>178</v>
      </c>
      <c r="H38" s="11" t="s">
        <v>178</v>
      </c>
      <c r="I38" s="12" t="s">
        <v>279</v>
      </c>
      <c r="J38" s="13">
        <v>50</v>
      </c>
    </row>
    <row r="39" ht="26" customHeight="1" spans="1:10" x14ac:dyDescent="0.25">
      <c r="A39" s="14" t="s">
        <v>395</v>
      </c>
      <c r="B39" s="15" t="s">
        <v>396</v>
      </c>
      <c r="C39" s="16" t="s">
        <v>397</v>
      </c>
      <c r="D39" s="16" t="s">
        <v>279</v>
      </c>
      <c r="E39" s="16" t="s">
        <v>398</v>
      </c>
      <c r="F39" s="16" t="s">
        <v>279</v>
      </c>
      <c r="G39" s="17" t="s">
        <v>399</v>
      </c>
      <c r="H39" s="17" t="s">
        <v>279</v>
      </c>
      <c r="I39" s="18" t="s">
        <v>279</v>
      </c>
      <c r="J39" s="19">
        <v>50</v>
      </c>
    </row>
    <row r="40" ht="26" customHeight="1" spans="1:10" x14ac:dyDescent="0.25">
      <c r="A40" s="8" t="s">
        <v>400</v>
      </c>
      <c r="B40" s="9" t="s">
        <v>183</v>
      </c>
      <c r="C40" s="10" t="s">
        <v>401</v>
      </c>
      <c r="D40" s="10" t="s">
        <v>183</v>
      </c>
      <c r="E40" s="10" t="s">
        <v>402</v>
      </c>
      <c r="F40" s="10" t="s">
        <v>184</v>
      </c>
      <c r="G40" s="11" t="s">
        <v>403</v>
      </c>
      <c r="H40" s="11" t="s">
        <v>185</v>
      </c>
      <c r="I40" s="12" t="s">
        <v>279</v>
      </c>
      <c r="J40" s="13">
        <v>50</v>
      </c>
    </row>
    <row r="41" ht="26" customHeight="1" spans="1:10" x14ac:dyDescent="0.25">
      <c r="A41" s="14" t="s">
        <v>404</v>
      </c>
      <c r="B41" s="15" t="s">
        <v>405</v>
      </c>
      <c r="C41" s="16" t="s">
        <v>405</v>
      </c>
      <c r="D41" s="16" t="s">
        <v>279</v>
      </c>
      <c r="E41" s="16" t="s">
        <v>406</v>
      </c>
      <c r="F41" s="16" t="s">
        <v>279</v>
      </c>
      <c r="G41" s="17" t="s">
        <v>407</v>
      </c>
      <c r="H41" s="17" t="s">
        <v>279</v>
      </c>
      <c r="I41" s="18" t="s">
        <v>279</v>
      </c>
      <c r="J41" s="19">
        <v>50</v>
      </c>
    </row>
    <row r="42" ht="26" customHeight="1" spans="1:10" x14ac:dyDescent="0.25">
      <c r="A42" s="8" t="s">
        <v>408</v>
      </c>
      <c r="B42" s="9" t="s">
        <v>187</v>
      </c>
      <c r="C42" s="10" t="s">
        <v>55</v>
      </c>
      <c r="D42" s="10" t="s">
        <v>187</v>
      </c>
      <c r="E42" s="10" t="s">
        <v>409</v>
      </c>
      <c r="F42" s="10" t="s">
        <v>188</v>
      </c>
      <c r="G42" s="11" t="s">
        <v>189</v>
      </c>
      <c r="H42" s="11" t="s">
        <v>189</v>
      </c>
      <c r="I42" s="12" t="s">
        <v>279</v>
      </c>
      <c r="J42" s="13">
        <v>50</v>
      </c>
    </row>
    <row r="43" ht="26" customHeight="1" spans="1:10" x14ac:dyDescent="0.25">
      <c r="A43" s="14" t="s">
        <v>410</v>
      </c>
      <c r="B43" s="15" t="s">
        <v>411</v>
      </c>
      <c r="C43" s="16" t="s">
        <v>411</v>
      </c>
      <c r="D43" s="16" t="s">
        <v>411</v>
      </c>
      <c r="E43" s="16" t="s">
        <v>412</v>
      </c>
      <c r="F43" s="16" t="s">
        <v>412</v>
      </c>
      <c r="G43" s="17" t="s">
        <v>413</v>
      </c>
      <c r="H43" s="17" t="s">
        <v>413</v>
      </c>
      <c r="I43" s="18" t="s">
        <v>279</v>
      </c>
      <c r="J43" s="19">
        <v>50</v>
      </c>
    </row>
    <row r="44" ht="26" customHeight="1" spans="1:10" x14ac:dyDescent="0.25">
      <c r="A44" s="8" t="s">
        <v>414</v>
      </c>
      <c r="B44" s="9" t="s">
        <v>52</v>
      </c>
      <c r="C44" s="10" t="s">
        <v>52</v>
      </c>
      <c r="D44" s="10" t="s">
        <v>279</v>
      </c>
      <c r="E44" s="10" t="s">
        <v>415</v>
      </c>
      <c r="F44" s="10" t="s">
        <v>279</v>
      </c>
      <c r="G44" s="11" t="s">
        <v>416</v>
      </c>
      <c r="H44" s="11" t="s">
        <v>279</v>
      </c>
      <c r="I44" s="12" t="s">
        <v>279</v>
      </c>
      <c r="J44" s="13">
        <v>50</v>
      </c>
    </row>
    <row r="45" ht="26" customHeight="1" spans="1:10" x14ac:dyDescent="0.25">
      <c r="A45" s="14" t="s">
        <v>417</v>
      </c>
      <c r="B45" s="15" t="s">
        <v>418</v>
      </c>
      <c r="C45" s="16" t="s">
        <v>418</v>
      </c>
      <c r="D45" s="16" t="s">
        <v>418</v>
      </c>
      <c r="E45" s="16" t="s">
        <v>419</v>
      </c>
      <c r="F45" s="16" t="s">
        <v>420</v>
      </c>
      <c r="G45" s="17" t="s">
        <v>421</v>
      </c>
      <c r="H45" s="17" t="s">
        <v>421</v>
      </c>
      <c r="I45" s="18" t="s">
        <v>279</v>
      </c>
      <c r="J45" s="19">
        <v>50</v>
      </c>
    </row>
    <row r="46" ht="26" customHeight="1" spans="1:10" x14ac:dyDescent="0.25">
      <c r="A46" s="8" t="s">
        <v>422</v>
      </c>
      <c r="B46" s="9" t="s">
        <v>423</v>
      </c>
      <c r="C46" s="10" t="s">
        <v>423</v>
      </c>
      <c r="D46" s="10" t="s">
        <v>191</v>
      </c>
      <c r="E46" s="10" t="s">
        <v>192</v>
      </c>
      <c r="F46" s="10" t="s">
        <v>192</v>
      </c>
      <c r="G46" s="11" t="s">
        <v>193</v>
      </c>
      <c r="H46" s="11" t="s">
        <v>193</v>
      </c>
      <c r="I46" s="12" t="s">
        <v>279</v>
      </c>
      <c r="J46" s="13">
        <v>50</v>
      </c>
    </row>
    <row r="47" ht="26" customHeight="1" spans="1:10" x14ac:dyDescent="0.25">
      <c r="A47" s="14" t="s">
        <v>424</v>
      </c>
      <c r="B47" s="15" t="s">
        <v>195</v>
      </c>
      <c r="C47" s="16" t="s">
        <v>82</v>
      </c>
      <c r="D47" s="16" t="s">
        <v>195</v>
      </c>
      <c r="E47" s="16" t="s">
        <v>425</v>
      </c>
      <c r="F47" s="16" t="s">
        <v>196</v>
      </c>
      <c r="G47" s="17" t="s">
        <v>197</v>
      </c>
      <c r="H47" s="17" t="s">
        <v>197</v>
      </c>
      <c r="I47" s="18" t="s">
        <v>279</v>
      </c>
      <c r="J47" s="19">
        <v>50</v>
      </c>
    </row>
    <row r="48" ht="26" customHeight="1" spans="1:10" x14ac:dyDescent="0.25">
      <c r="A48" s="8" t="s">
        <v>426</v>
      </c>
      <c r="B48" s="9" t="s">
        <v>427</v>
      </c>
      <c r="C48" s="10" t="s">
        <v>427</v>
      </c>
      <c r="D48" s="10" t="s">
        <v>428</v>
      </c>
      <c r="E48" s="10" t="s">
        <v>429</v>
      </c>
      <c r="F48" s="10" t="s">
        <v>430</v>
      </c>
      <c r="G48" s="11" t="s">
        <v>431</v>
      </c>
      <c r="H48" s="11" t="s">
        <v>431</v>
      </c>
      <c r="I48" s="12" t="s">
        <v>279</v>
      </c>
      <c r="J48" s="13">
        <v>50</v>
      </c>
    </row>
    <row r="49" ht="26" customHeight="1" spans="1:10" x14ac:dyDescent="0.25">
      <c r="A49" s="14" t="s">
        <v>432</v>
      </c>
      <c r="B49" s="15" t="s">
        <v>207</v>
      </c>
      <c r="C49" s="16" t="s">
        <v>433</v>
      </c>
      <c r="D49" s="16" t="s">
        <v>207</v>
      </c>
      <c r="E49" s="16" t="s">
        <v>434</v>
      </c>
      <c r="F49" s="16" t="s">
        <v>208</v>
      </c>
      <c r="G49" s="17" t="s">
        <v>209</v>
      </c>
      <c r="H49" s="17" t="s">
        <v>209</v>
      </c>
      <c r="I49" s="18" t="s">
        <v>279</v>
      </c>
      <c r="J49" s="19">
        <v>50</v>
      </c>
    </row>
    <row r="50" ht="26" customHeight="1" spans="1:10" x14ac:dyDescent="0.25">
      <c r="A50" s="8" t="s">
        <v>435</v>
      </c>
      <c r="B50" s="9" t="s">
        <v>436</v>
      </c>
      <c r="C50" s="10" t="s">
        <v>437</v>
      </c>
      <c r="D50" s="10" t="s">
        <v>279</v>
      </c>
      <c r="E50" s="10" t="s">
        <v>438</v>
      </c>
      <c r="F50" s="10" t="s">
        <v>279</v>
      </c>
      <c r="G50" s="11" t="s">
        <v>439</v>
      </c>
      <c r="H50" s="11" t="s">
        <v>279</v>
      </c>
      <c r="I50" s="12" t="s">
        <v>279</v>
      </c>
      <c r="J50" s="13">
        <v>50</v>
      </c>
    </row>
    <row r="51" ht="26" customHeight="1" spans="1:10" x14ac:dyDescent="0.25">
      <c r="A51" s="14" t="s">
        <v>440</v>
      </c>
      <c r="B51" s="15" t="s">
        <v>64</v>
      </c>
      <c r="C51" s="16" t="s">
        <v>64</v>
      </c>
      <c r="D51" s="16" t="s">
        <v>64</v>
      </c>
      <c r="E51" s="16" t="s">
        <v>211</v>
      </c>
      <c r="F51" s="16" t="s">
        <v>211</v>
      </c>
      <c r="G51" s="17" t="s">
        <v>212</v>
      </c>
      <c r="H51" s="17" t="s">
        <v>212</v>
      </c>
      <c r="I51" s="18" t="s">
        <v>279</v>
      </c>
      <c r="J51" s="19">
        <v>50</v>
      </c>
    </row>
    <row r="52" ht="26" customHeight="1" spans="1:10" x14ac:dyDescent="0.25">
      <c r="A52" s="8" t="s">
        <v>441</v>
      </c>
      <c r="B52" s="9" t="s">
        <v>214</v>
      </c>
      <c r="C52" s="10" t="s">
        <v>100</v>
      </c>
      <c r="D52" s="10" t="s">
        <v>214</v>
      </c>
      <c r="E52" s="10" t="s">
        <v>215</v>
      </c>
      <c r="F52" s="10" t="s">
        <v>215</v>
      </c>
      <c r="G52" s="11" t="s">
        <v>216</v>
      </c>
      <c r="H52" s="11" t="s">
        <v>216</v>
      </c>
      <c r="I52" s="12" t="s">
        <v>279</v>
      </c>
      <c r="J52" s="13">
        <v>50</v>
      </c>
    </row>
    <row r="53" ht="26" customHeight="1" spans="1:10" x14ac:dyDescent="0.25">
      <c r="A53" s="14" t="s">
        <v>442</v>
      </c>
      <c r="B53" s="15" t="s">
        <v>222</v>
      </c>
      <c r="C53" s="16" t="s">
        <v>222</v>
      </c>
      <c r="D53" s="16" t="s">
        <v>222</v>
      </c>
      <c r="E53" s="16" t="s">
        <v>223</v>
      </c>
      <c r="F53" s="16" t="s">
        <v>223</v>
      </c>
      <c r="G53" s="17" t="s">
        <v>224</v>
      </c>
      <c r="H53" s="17" t="s">
        <v>224</v>
      </c>
      <c r="I53" s="18" t="s">
        <v>279</v>
      </c>
      <c r="J53" s="19">
        <v>50</v>
      </c>
    </row>
    <row r="54" ht="26" customHeight="1" spans="1:10" x14ac:dyDescent="0.25">
      <c r="A54" s="8" t="s">
        <v>443</v>
      </c>
      <c r="B54" s="9" t="s">
        <v>76</v>
      </c>
      <c r="C54" s="10" t="s">
        <v>76</v>
      </c>
      <c r="D54" s="10" t="s">
        <v>76</v>
      </c>
      <c r="E54" s="10" t="s">
        <v>444</v>
      </c>
      <c r="F54" s="10" t="s">
        <v>444</v>
      </c>
      <c r="G54" s="11" t="s">
        <v>445</v>
      </c>
      <c r="H54" s="11" t="s">
        <v>445</v>
      </c>
      <c r="I54" s="12" t="s">
        <v>279</v>
      </c>
      <c r="J54" s="13">
        <v>50</v>
      </c>
    </row>
    <row r="55" ht="26" customHeight="1" spans="1:10" x14ac:dyDescent="0.25">
      <c r="A55" s="14" t="s">
        <v>446</v>
      </c>
      <c r="B55" s="15" t="s">
        <v>447</v>
      </c>
      <c r="C55" s="16" t="s">
        <v>448</v>
      </c>
      <c r="D55" s="16" t="s">
        <v>279</v>
      </c>
      <c r="E55" s="16" t="s">
        <v>449</v>
      </c>
      <c r="F55" s="16" t="s">
        <v>279</v>
      </c>
      <c r="G55" s="17" t="s">
        <v>450</v>
      </c>
      <c r="H55" s="17" t="s">
        <v>279</v>
      </c>
      <c r="I55" s="18" t="s">
        <v>279</v>
      </c>
      <c r="J55" s="19">
        <v>50</v>
      </c>
    </row>
    <row r="56" ht="26" customHeight="1" spans="1:10" x14ac:dyDescent="0.25">
      <c r="A56" s="8" t="s">
        <v>451</v>
      </c>
      <c r="B56" s="9" t="s">
        <v>230</v>
      </c>
      <c r="C56" s="10" t="s">
        <v>230</v>
      </c>
      <c r="D56" s="10" t="s">
        <v>230</v>
      </c>
      <c r="E56" s="10" t="s">
        <v>452</v>
      </c>
      <c r="F56" s="10" t="s">
        <v>231</v>
      </c>
      <c r="G56" s="11" t="s">
        <v>232</v>
      </c>
      <c r="H56" s="11" t="s">
        <v>232</v>
      </c>
      <c r="I56" s="12" t="s">
        <v>279</v>
      </c>
      <c r="J56" s="13">
        <v>50</v>
      </c>
    </row>
    <row r="57" ht="26" customHeight="1" spans="1:10" x14ac:dyDescent="0.25">
      <c r="A57" s="14" t="s">
        <v>453</v>
      </c>
      <c r="B57" s="15" t="s">
        <v>31</v>
      </c>
      <c r="C57" s="16" t="s">
        <v>31</v>
      </c>
      <c r="D57" s="16" t="s">
        <v>31</v>
      </c>
      <c r="E57" s="16" t="s">
        <v>454</v>
      </c>
      <c r="F57" s="16" t="s">
        <v>234</v>
      </c>
      <c r="G57" s="17" t="s">
        <v>235</v>
      </c>
      <c r="H57" s="17" t="s">
        <v>235</v>
      </c>
      <c r="I57" s="18" t="s">
        <v>279</v>
      </c>
      <c r="J57" s="19">
        <v>50</v>
      </c>
    </row>
    <row r="58" ht="26" customHeight="1" spans="1:10" x14ac:dyDescent="0.25">
      <c r="A58" s="8" t="s">
        <v>455</v>
      </c>
      <c r="B58" s="9" t="s">
        <v>61</v>
      </c>
      <c r="C58" s="10" t="s">
        <v>61</v>
      </c>
      <c r="D58" s="10" t="s">
        <v>61</v>
      </c>
      <c r="E58" s="10" t="s">
        <v>456</v>
      </c>
      <c r="F58" s="10" t="s">
        <v>241</v>
      </c>
      <c r="G58" s="11" t="s">
        <v>457</v>
      </c>
      <c r="H58" s="11" t="s">
        <v>242</v>
      </c>
      <c r="I58" s="12" t="s">
        <v>279</v>
      </c>
      <c r="J58" s="13">
        <v>50</v>
      </c>
    </row>
    <row r="59" ht="26" customHeight="1" spans="1:10" x14ac:dyDescent="0.25">
      <c r="A59" s="14" t="s">
        <v>458</v>
      </c>
      <c r="B59" s="15" t="s">
        <v>459</v>
      </c>
      <c r="C59" s="16" t="s">
        <v>459</v>
      </c>
      <c r="D59" s="16" t="s">
        <v>244</v>
      </c>
      <c r="E59" s="16" t="s">
        <v>245</v>
      </c>
      <c r="F59" s="16" t="s">
        <v>245</v>
      </c>
      <c r="G59" s="17" t="s">
        <v>212</v>
      </c>
      <c r="H59" s="17" t="s">
        <v>246</v>
      </c>
      <c r="I59" s="18" t="s">
        <v>279</v>
      </c>
      <c r="J59" s="19">
        <v>50</v>
      </c>
    </row>
    <row r="60" ht="26" customHeight="1" spans="1:10" x14ac:dyDescent="0.25">
      <c r="A60" s="8" t="s">
        <v>460</v>
      </c>
      <c r="B60" s="9" t="s">
        <v>461</v>
      </c>
      <c r="C60" s="10" t="s">
        <v>461</v>
      </c>
      <c r="D60" s="10" t="s">
        <v>279</v>
      </c>
      <c r="E60" s="10" t="s">
        <v>462</v>
      </c>
      <c r="F60" s="10" t="s">
        <v>279</v>
      </c>
      <c r="G60" s="11" t="s">
        <v>463</v>
      </c>
      <c r="H60" s="11" t="s">
        <v>279</v>
      </c>
      <c r="I60" s="12" t="s">
        <v>279</v>
      </c>
      <c r="J60" s="13">
        <v>50</v>
      </c>
    </row>
    <row r="61" ht="26" customHeight="1" spans="1:10" x14ac:dyDescent="0.25">
      <c r="A61" s="14" t="s">
        <v>464</v>
      </c>
      <c r="B61" s="15" t="s">
        <v>465</v>
      </c>
      <c r="C61" s="16" t="s">
        <v>465</v>
      </c>
      <c r="D61" s="16" t="s">
        <v>248</v>
      </c>
      <c r="E61" s="16" t="s">
        <v>466</v>
      </c>
      <c r="F61" s="16" t="s">
        <v>249</v>
      </c>
      <c r="G61" s="17" t="s">
        <v>250</v>
      </c>
      <c r="H61" s="17" t="s">
        <v>250</v>
      </c>
      <c r="I61" s="18" t="s">
        <v>279</v>
      </c>
      <c r="J61" s="19">
        <v>50</v>
      </c>
    </row>
    <row r="62" ht="26" customHeight="1" spans="1:10" x14ac:dyDescent="0.25">
      <c r="A62" s="8" t="s">
        <v>467</v>
      </c>
      <c r="B62" s="9" t="s">
        <v>468</v>
      </c>
      <c r="C62" s="10" t="s">
        <v>26</v>
      </c>
      <c r="D62" s="10" t="s">
        <v>252</v>
      </c>
      <c r="E62" s="10" t="s">
        <v>469</v>
      </c>
      <c r="F62" s="10" t="s">
        <v>253</v>
      </c>
      <c r="G62" s="11" t="s">
        <v>470</v>
      </c>
      <c r="H62" s="11" t="s">
        <v>254</v>
      </c>
      <c r="I62" s="12" t="s">
        <v>471</v>
      </c>
      <c r="J62" s="13">
        <v>50</v>
      </c>
    </row>
    <row r="63" ht="26" customHeight="1" spans="1:10" x14ac:dyDescent="0.25">
      <c r="A63" s="14" t="s">
        <v>472</v>
      </c>
      <c r="B63" s="15" t="s">
        <v>73</v>
      </c>
      <c r="C63" s="16" t="s">
        <v>73</v>
      </c>
      <c r="D63" s="16" t="s">
        <v>73</v>
      </c>
      <c r="E63" s="16" t="s">
        <v>473</v>
      </c>
      <c r="F63" s="16" t="s">
        <v>474</v>
      </c>
      <c r="G63" s="17" t="s">
        <v>475</v>
      </c>
      <c r="H63" s="17" t="s">
        <v>476</v>
      </c>
      <c r="I63" s="18" t="s">
        <v>279</v>
      </c>
      <c r="J63" s="19">
        <v>50</v>
      </c>
    </row>
    <row r="64" ht="26" customHeight="1" spans="1:10" x14ac:dyDescent="0.25">
      <c r="A64" s="8" t="s">
        <v>477</v>
      </c>
      <c r="B64" s="9" t="s">
        <v>478</v>
      </c>
      <c r="C64" s="10" t="s">
        <v>279</v>
      </c>
      <c r="D64" s="10" t="s">
        <v>478</v>
      </c>
      <c r="E64" s="10" t="s">
        <v>279</v>
      </c>
      <c r="F64" s="10" t="s">
        <v>479</v>
      </c>
      <c r="G64" s="11" t="s">
        <v>279</v>
      </c>
      <c r="H64" s="11" t="s">
        <v>480</v>
      </c>
      <c r="I64" s="12" t="s">
        <v>279</v>
      </c>
      <c r="J64" s="13">
        <v>50</v>
      </c>
    </row>
    <row r="65" ht="26" customHeight="1" spans="1:10" x14ac:dyDescent="0.25">
      <c r="A65" s="14" t="s">
        <v>481</v>
      </c>
      <c r="B65" s="15" t="s">
        <v>79</v>
      </c>
      <c r="C65" s="16" t="s">
        <v>79</v>
      </c>
      <c r="D65" s="16" t="s">
        <v>79</v>
      </c>
      <c r="E65" s="16" t="s">
        <v>256</v>
      </c>
      <c r="F65" s="16" t="s">
        <v>256</v>
      </c>
      <c r="G65" s="17" t="s">
        <v>257</v>
      </c>
      <c r="H65" s="17" t="s">
        <v>257</v>
      </c>
      <c r="I65" s="18" t="s">
        <v>279</v>
      </c>
      <c r="J65" s="19">
        <v>50</v>
      </c>
    </row>
    <row r="66" ht="26" customHeight="1" spans="1:10" x14ac:dyDescent="0.25">
      <c r="A66" s="8" t="s">
        <v>482</v>
      </c>
      <c r="B66" s="9" t="s">
        <v>483</v>
      </c>
      <c r="C66" s="10" t="s">
        <v>94</v>
      </c>
      <c r="D66" s="10" t="s">
        <v>279</v>
      </c>
      <c r="E66" s="10" t="s">
        <v>484</v>
      </c>
      <c r="F66" s="10" t="s">
        <v>279</v>
      </c>
      <c r="G66" s="11" t="s">
        <v>485</v>
      </c>
      <c r="H66" s="11" t="s">
        <v>279</v>
      </c>
      <c r="I66" s="12" t="s">
        <v>279</v>
      </c>
      <c r="J66" s="13">
        <v>50</v>
      </c>
    </row>
    <row r="67" ht="26" customHeight="1" spans="1:10" x14ac:dyDescent="0.25">
      <c r="A67" s="14" t="s">
        <v>486</v>
      </c>
      <c r="B67" s="15" t="s">
        <v>263</v>
      </c>
      <c r="C67" s="16" t="s">
        <v>40</v>
      </c>
      <c r="D67" s="16" t="s">
        <v>263</v>
      </c>
      <c r="E67" s="16" t="s">
        <v>487</v>
      </c>
      <c r="F67" s="16" t="s">
        <v>264</v>
      </c>
      <c r="G67" s="17" t="s">
        <v>265</v>
      </c>
      <c r="H67" s="17" t="s">
        <v>265</v>
      </c>
      <c r="I67" s="18" t="s">
        <v>279</v>
      </c>
      <c r="J67" s="19">
        <v>50</v>
      </c>
    </row>
    <row r="68" ht="26" customHeight="1" spans="1:10" x14ac:dyDescent="0.25">
      <c r="A68" s="8" t="s">
        <v>488</v>
      </c>
      <c r="B68" s="9" t="s">
        <v>148</v>
      </c>
      <c r="C68" s="10" t="s">
        <v>148</v>
      </c>
      <c r="D68" s="10" t="s">
        <v>148</v>
      </c>
      <c r="E68" s="10" t="s">
        <v>149</v>
      </c>
      <c r="F68" s="10" t="s">
        <v>149</v>
      </c>
      <c r="G68" s="11" t="s">
        <v>150</v>
      </c>
      <c r="H68" s="11" t="s">
        <v>150</v>
      </c>
      <c r="I68" s="12" t="s">
        <v>279</v>
      </c>
      <c r="J68" s="13">
        <v>40</v>
      </c>
    </row>
    <row r="69" ht="26" customHeight="1" spans="1:10" x14ac:dyDescent="0.25">
      <c r="A69" s="14" t="s">
        <v>489</v>
      </c>
      <c r="B69" s="15" t="s">
        <v>490</v>
      </c>
      <c r="C69" s="16" t="s">
        <v>490</v>
      </c>
      <c r="D69" s="16" t="s">
        <v>491</v>
      </c>
      <c r="E69" s="16" t="s">
        <v>492</v>
      </c>
      <c r="F69" s="16" t="s">
        <v>493</v>
      </c>
      <c r="G69" s="17" t="s">
        <v>494</v>
      </c>
      <c r="H69" s="17" t="s">
        <v>494</v>
      </c>
      <c r="I69" s="18" t="s">
        <v>279</v>
      </c>
      <c r="J69" s="19">
        <v>40</v>
      </c>
    </row>
    <row r="70" ht="26" customHeight="1" spans="1:10" x14ac:dyDescent="0.25">
      <c r="A70" s="8" t="s">
        <v>495</v>
      </c>
      <c r="B70" s="9" t="s">
        <v>496</v>
      </c>
      <c r="C70" s="10" t="s">
        <v>496</v>
      </c>
      <c r="D70" s="10" t="s">
        <v>496</v>
      </c>
      <c r="E70" s="10" t="s">
        <v>497</v>
      </c>
      <c r="F70" s="10" t="s">
        <v>498</v>
      </c>
      <c r="G70" s="11" t="s">
        <v>499</v>
      </c>
      <c r="H70" s="11" t="s">
        <v>500</v>
      </c>
      <c r="I70" s="12" t="s">
        <v>279</v>
      </c>
      <c r="J70" s="13">
        <v>0</v>
      </c>
    </row>
    <row r="71" ht="26" customHeight="1" spans="1:10" x14ac:dyDescent="0.25">
      <c r="A71" s="14" t="s">
        <v>501</v>
      </c>
      <c r="B71" s="15" t="s">
        <v>502</v>
      </c>
      <c r="C71" s="16" t="s">
        <v>502</v>
      </c>
      <c r="D71" s="16" t="s">
        <v>502</v>
      </c>
      <c r="E71" s="16" t="s">
        <v>503</v>
      </c>
      <c r="F71" s="16" t="s">
        <v>503</v>
      </c>
      <c r="G71" s="17" t="s">
        <v>504</v>
      </c>
      <c r="H71" s="17" t="s">
        <v>504</v>
      </c>
      <c r="I71" s="18" t="s">
        <v>279</v>
      </c>
      <c r="J71" s="19">
        <v>50</v>
      </c>
    </row>
    <row r="72" ht="26" customHeight="1" spans="1:10" x14ac:dyDescent="0.25">
      <c r="A72" s="8" t="s">
        <v>505</v>
      </c>
      <c r="B72" s="9" t="s">
        <v>506</v>
      </c>
      <c r="C72" s="10" t="s">
        <v>506</v>
      </c>
      <c r="D72" s="10" t="s">
        <v>506</v>
      </c>
      <c r="E72" s="10" t="s">
        <v>507</v>
      </c>
      <c r="F72" s="10" t="s">
        <v>507</v>
      </c>
      <c r="G72" s="11" t="s">
        <v>508</v>
      </c>
      <c r="H72" s="11" t="s">
        <v>508</v>
      </c>
      <c r="I72" s="12" t="s">
        <v>279</v>
      </c>
      <c r="J72" s="13">
        <v>40</v>
      </c>
    </row>
    <row r="73" ht="26" customHeight="1" spans="1:10" x14ac:dyDescent="0.25">
      <c r="A73" s="14" t="s">
        <v>509</v>
      </c>
      <c r="B73" s="15" t="s">
        <v>510</v>
      </c>
      <c r="C73" s="16" t="s">
        <v>510</v>
      </c>
      <c r="D73" s="16" t="s">
        <v>279</v>
      </c>
      <c r="E73" s="16" t="s">
        <v>511</v>
      </c>
      <c r="F73" s="16" t="s">
        <v>279</v>
      </c>
      <c r="G73" s="17" t="s">
        <v>512</v>
      </c>
      <c r="H73" s="17" t="s">
        <v>279</v>
      </c>
      <c r="I73" s="18" t="s">
        <v>279</v>
      </c>
      <c r="J73" s="19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/>
  </sheetViews>
  <sheetFormatPr defaultRowHeight="15" outlineLevelRow="0" outlineLevelCol="0" x14ac:dyDescent="55"/>
  <cols>
    <col min="1" max="1" width="7" customWidth="1"/>
    <col min="2" max="2" width="28" customWidth="1"/>
    <col min="3" max="4" width="24" customWidth="1"/>
    <col min="5" max="6" width="28" customWidth="1"/>
    <col min="7" max="8" width="18" customWidth="1"/>
    <col min="9" max="9" width="22" customWidth="1"/>
    <col min="10" max="10" width="18" customWidth="1"/>
    <col min="11" max="11" width="22" customWidth="1"/>
    <col min="12" max="12" width="18" customWidth="1"/>
    <col min="13" max="13" width="25" customWidth="1"/>
    <col min="14" max="14" width="16" customWidth="1"/>
    <col min="15" max="17" width="14" customWidth="1"/>
    <col min="18" max="18" width="28" customWidth="1"/>
    <col min="19" max="19" width="34" customWidth="1"/>
  </cols>
  <sheetData>
    <row r="1" ht="40" customHeight="1" spans="2:19" x14ac:dyDescent="0.25">
      <c r="B1" s="20" t="s">
        <v>513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ht="22" customHeight="1" spans="2:19" x14ac:dyDescent="0.25">
      <c r="B2" s="21" t="s">
        <v>514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ht="12" customHeight="1" x14ac:dyDescent="0.25"/>
    <row r="4" ht="20" customHeight="1" spans="1:19" x14ac:dyDescent="0.25">
      <c r="B4" s="22" t="s">
        <v>515</v>
      </c>
      <c r="C4" s="22"/>
      <c r="D4" s="22"/>
      <c r="F4" s="23" t="s">
        <v>516</v>
      </c>
      <c r="G4" s="23"/>
      <c r="H4" s="23"/>
      <c r="J4" s="24" t="s">
        <v>517</v>
      </c>
      <c r="K4" s="24"/>
      <c r="L4" s="24"/>
      <c r="N4" s="25" t="s">
        <v>518</v>
      </c>
      <c r="O4" s="25"/>
      <c r="P4" s="25"/>
    </row>
    <row r="5" ht="32" customHeight="1" spans="1:19" x14ac:dyDescent="0.25">
      <c r="B5" s="26">
        <f>SUM(M10:M81)</f>
        <v>9963.33</v>
      </c>
      <c r="C5" s="26"/>
      <c r="D5" s="26"/>
      <c r="F5" s="27">
        <f>SUM(J10:J81)+SUM(L10:L81)</f>
        <v>4673.84</v>
      </c>
      <c r="G5" s="27"/>
      <c r="H5" s="27"/>
      <c r="J5" s="28">
        <f>SUM(N10:N81)</f>
        <v>2310</v>
      </c>
      <c r="K5" s="28"/>
      <c r="L5" s="28"/>
      <c r="N5" s="29">
        <f>SUM(R10:R81)</f>
        <v>7358.33</v>
      </c>
      <c r="O5" s="29"/>
      <c r="P5" s="29"/>
    </row>
    <row r="6" spans="1:19" x14ac:dyDescent="0.25"/>
    <row r="7" spans="1:19" x14ac:dyDescent="0.25"/>
    <row r="8" ht="24" customHeight="1" spans="1:19" x14ac:dyDescent="0.25">
      <c r="A8" s="30" t="s">
        <v>519</v>
      </c>
      <c r="B8" s="30"/>
      <c r="C8" s="31" t="s">
        <v>520</v>
      </c>
      <c r="D8" s="31"/>
      <c r="E8" s="32" t="s">
        <v>521</v>
      </c>
      <c r="F8" s="32"/>
      <c r="G8" s="32"/>
      <c r="H8" s="32"/>
      <c r="I8" s="33" t="s">
        <v>522</v>
      </c>
      <c r="J8" s="33"/>
      <c r="K8" s="34" t="s">
        <v>523</v>
      </c>
      <c r="L8" s="34"/>
      <c r="M8" s="35" t="s">
        <v>524</v>
      </c>
      <c r="N8" s="36" t="s">
        <v>525</v>
      </c>
      <c r="O8" s="36"/>
      <c r="P8" s="36"/>
      <c r="Q8" s="36"/>
      <c r="R8" s="37" t="s">
        <v>526</v>
      </c>
      <c r="S8" s="38" t="s">
        <v>527</v>
      </c>
    </row>
    <row r="9" ht="32" customHeight="1" spans="1:19" x14ac:dyDescent="0.25">
      <c r="A9" s="39" t="s">
        <v>267</v>
      </c>
      <c r="B9" s="39" t="s">
        <v>528</v>
      </c>
      <c r="C9" s="39" t="s">
        <v>529</v>
      </c>
      <c r="D9" s="39" t="s">
        <v>530</v>
      </c>
      <c r="E9" s="39" t="s">
        <v>531</v>
      </c>
      <c r="F9" s="39" t="s">
        <v>532</v>
      </c>
      <c r="G9" s="39" t="s">
        <v>533</v>
      </c>
      <c r="H9" s="39" t="s">
        <v>534</v>
      </c>
      <c r="I9" s="40" t="s">
        <v>535</v>
      </c>
      <c r="J9" s="41" t="s">
        <v>536</v>
      </c>
      <c r="K9" s="42" t="s">
        <v>537</v>
      </c>
      <c r="L9" s="43" t="s">
        <v>538</v>
      </c>
      <c r="M9" s="44" t="s">
        <v>539</v>
      </c>
      <c r="N9" s="39" t="s">
        <v>540</v>
      </c>
      <c r="O9" s="39" t="s">
        <v>541</v>
      </c>
      <c r="P9" s="39" t="s">
        <v>542</v>
      </c>
      <c r="Q9" s="39" t="s">
        <v>543</v>
      </c>
      <c r="R9" s="45" t="s">
        <v>544</v>
      </c>
      <c r="S9" s="46" t="s">
        <v>545</v>
      </c>
    </row>
    <row r="10" ht="28" customHeight="1" spans="1:19" x14ac:dyDescent="0.25">
      <c r="A10" s="8" t="s">
        <v>277</v>
      </c>
      <c r="B10" s="9" t="s">
        <v>278</v>
      </c>
      <c r="C10" s="10" t="s">
        <v>70</v>
      </c>
      <c r="D10" s="10" t="s">
        <v>279</v>
      </c>
      <c r="E10" s="47" t="s">
        <v>280</v>
      </c>
      <c r="F10" s="47" t="s">
        <v>279</v>
      </c>
      <c r="G10" s="48" t="s">
        <v>281</v>
      </c>
      <c r="H10" s="48" t="s">
        <v>279</v>
      </c>
      <c r="I10" s="49">
        <f>IF(B10="", "", IF(OR(C10="", C10="—"), 0, IFNA(XLOOKUP(C10, DATA_UBER!A:A, DATA_UBER!Z:Z, 0), 0)))</f>
        <v>14.08</v>
      </c>
      <c r="J10" s="50">
        <f>IF(B10="", "", IF(OR(C10="", C10="—"), 0, IFNA(XLOOKUP(C10, DATA_UBER!A:A, DATA_UBER!J:J, 0), 0)))</f>
        <v>0</v>
      </c>
      <c r="K10" s="49">
        <f>IF(B10="", "", IF(OR(D10="", D10="—"), 0, IFNA(XLOOKUP(D10, DATA_BOLT!A:A, DATA_BOLT!Z:Z, 0), 0)))</f>
        <v>0</v>
      </c>
      <c r="L10" s="50">
        <f>IF(B10="", "", IF(OR(D10="", D10="—"), 0, IFNA(XLOOKUP(D10, DATA_BOLT!A:A, DATA_BOLT!G:G, 0), 0)))</f>
        <v>0</v>
      </c>
      <c r="M10" s="49">
        <f>IF(B10="", "", I10 + K10)</f>
        <v>14.08</v>
      </c>
      <c r="N10" s="49">
        <f>IF(B10="", "", IF(OR(I10&lt;&gt;0, K10&lt;&gt;0, J10&lt;&gt;0, L10&lt;&gt;0), IFNA(XLOOKUP(B10, ANNUAIRE_FLOTTE!B:B, ANNUAIRE_FLOTTE!J:J, 50), 50), 0))</f>
        <v>50</v>
      </c>
      <c r="O10" s="49">
        <v>0</v>
      </c>
      <c r="P10" s="49">
        <v>0</v>
      </c>
      <c r="Q10" s="49">
        <v>0</v>
      </c>
      <c r="R10" s="51">
        <f>IF(B10="", "", M10 - N10 - O10 - Q10 + P10)</f>
        <v>-35.92</v>
      </c>
      <c r="S10" s="12" t="s">
        <v>279</v>
      </c>
    </row>
    <row r="11" ht="28" customHeight="1" spans="1:19" x14ac:dyDescent="0.25">
      <c r="A11" s="14" t="s">
        <v>282</v>
      </c>
      <c r="B11" s="15" t="s">
        <v>283</v>
      </c>
      <c r="C11" s="16" t="s">
        <v>67</v>
      </c>
      <c r="D11" s="16" t="s">
        <v>132</v>
      </c>
      <c r="E11" s="52" t="s">
        <v>133</v>
      </c>
      <c r="F11" s="52" t="s">
        <v>133</v>
      </c>
      <c r="G11" s="53" t="s">
        <v>134</v>
      </c>
      <c r="H11" s="53" t="s">
        <v>134</v>
      </c>
      <c r="I11" s="54">
        <f>IF(B11="", "", IF(OR(C11="", C11="—"), 0, IFNA(XLOOKUP(C11, DATA_UBER!A:A, DATA_UBER!Z:Z, 0), 0)))</f>
        <v>93.96</v>
      </c>
      <c r="J11" s="50">
        <f>IF(B11="", "", IF(OR(C11="", C11="—"), 0, IFNA(XLOOKUP(C11, DATA_UBER!A:A, DATA_UBER!J:J, 0), 0)))</f>
        <v>0</v>
      </c>
      <c r="K11" s="54">
        <f>IF(B11="", "", IF(OR(D11="", D11="—"), 0, IFNA(XLOOKUP(D11, DATA_BOLT!A:A, DATA_BOLT!Z:Z, 0), 0)))</f>
        <v>133.22</v>
      </c>
      <c r="L11" s="50">
        <f>IF(B11="", "", IF(OR(D11="", D11="—"), 0, IFNA(XLOOKUP(D11, DATA_BOLT!A:A, DATA_BOLT!G:G, 0), 0)))</f>
        <v>361.9</v>
      </c>
      <c r="M11" s="54">
        <f>IF(B11="", "", I11 + K11)</f>
        <v>227.18</v>
      </c>
      <c r="N11" s="54">
        <f>IF(B11="", "", IF(OR(I11&lt;&gt;0, K11&lt;&gt;0, J11&lt;&gt;0, L11&lt;&gt;0), IFNA(XLOOKUP(B11, ANNUAIRE_FLOTTE!B:B, ANNUAIRE_FLOTTE!J:J, 50), 50), 0))</f>
        <v>50</v>
      </c>
      <c r="O11" s="54">
        <v>0</v>
      </c>
      <c r="P11" s="54">
        <v>0</v>
      </c>
      <c r="Q11" s="54">
        <v>0</v>
      </c>
      <c r="R11" s="55">
        <f>IF(B11="", "", M11 - N11 - O11 - Q11 + P11)</f>
        <v>177.18</v>
      </c>
      <c r="S11" s="18" t="s">
        <v>279</v>
      </c>
    </row>
    <row r="12" ht="28" customHeight="1" spans="1:19" x14ac:dyDescent="0.25">
      <c r="A12" s="8" t="s">
        <v>284</v>
      </c>
      <c r="B12" s="9" t="s">
        <v>58</v>
      </c>
      <c r="C12" s="10" t="s">
        <v>58</v>
      </c>
      <c r="D12" s="10" t="s">
        <v>279</v>
      </c>
      <c r="E12" s="47" t="s">
        <v>285</v>
      </c>
      <c r="F12" s="47" t="s">
        <v>279</v>
      </c>
      <c r="G12" s="48" t="s">
        <v>286</v>
      </c>
      <c r="H12" s="48" t="s">
        <v>279</v>
      </c>
      <c r="I12" s="49">
        <f>IF(B12="", "", IF(OR(C12="", C12="—"), 0, IFNA(XLOOKUP(C12, DATA_UBER!A:A, DATA_UBER!Z:Z, 0), 0)))</f>
        <v>162.02</v>
      </c>
      <c r="J12" s="50">
        <f>IF(B12="", "", IF(OR(C12="", C12="—"), 0, IFNA(XLOOKUP(C12, DATA_UBER!A:A, DATA_UBER!J:J, 0), 0)))</f>
        <v>0</v>
      </c>
      <c r="K12" s="49">
        <f>IF(B12="", "", IF(OR(D12="", D12="—"), 0, IFNA(XLOOKUP(D12, DATA_BOLT!A:A, DATA_BOLT!Z:Z, 0), 0)))</f>
        <v>0</v>
      </c>
      <c r="L12" s="50">
        <f>IF(B12="", "", IF(OR(D12="", D12="—"), 0, IFNA(XLOOKUP(D12, DATA_BOLT!A:A, DATA_BOLT!G:G, 0), 0)))</f>
        <v>0</v>
      </c>
      <c r="M12" s="49">
        <f>IF(B12="", "", I12 + K12)</f>
        <v>162.02</v>
      </c>
      <c r="N12" s="49">
        <f>IF(B12="", "", IF(OR(I12&lt;&gt;0, K12&lt;&gt;0, J12&lt;&gt;0, L12&lt;&gt;0), IFNA(XLOOKUP(B12, ANNUAIRE_FLOTTE!B:B, ANNUAIRE_FLOTTE!J:J, 50), 50), 0))</f>
        <v>50</v>
      </c>
      <c r="O12" s="49">
        <v>0</v>
      </c>
      <c r="P12" s="49">
        <v>0</v>
      </c>
      <c r="Q12" s="49">
        <v>0</v>
      </c>
      <c r="R12" s="55">
        <f>IF(B12="", "", M12 - N12 - O12 - Q12 + P12)</f>
        <v>112.02</v>
      </c>
      <c r="S12" s="12" t="s">
        <v>279</v>
      </c>
    </row>
    <row r="13" ht="28" customHeight="1" spans="1:19" x14ac:dyDescent="0.25">
      <c r="A13" s="14" t="s">
        <v>287</v>
      </c>
      <c r="B13" s="15" t="s">
        <v>288</v>
      </c>
      <c r="C13" s="16" t="s">
        <v>103</v>
      </c>
      <c r="D13" s="16" t="s">
        <v>279</v>
      </c>
      <c r="E13" s="52" t="s">
        <v>289</v>
      </c>
      <c r="F13" s="52" t="s">
        <v>279</v>
      </c>
      <c r="G13" s="53" t="s">
        <v>290</v>
      </c>
      <c r="H13" s="53" t="s">
        <v>279</v>
      </c>
      <c r="I13" s="54">
        <f>IF(B13="", "", IF(OR(C13="", C13="—"), 0, IFNA(XLOOKUP(C13, DATA_UBER!A:A, DATA_UBER!Z:Z, 0), 0)))</f>
        <v>159.89</v>
      </c>
      <c r="J13" s="50">
        <f>IF(B13="", "", IF(OR(C13="", C13="—"), 0, IFNA(XLOOKUP(C13, DATA_UBER!A:A, DATA_UBER!J:J, 0), 0)))</f>
        <v>0</v>
      </c>
      <c r="K13" s="54">
        <f>IF(B13="", "", IF(OR(D13="", D13="—"), 0, IFNA(XLOOKUP(D13, DATA_BOLT!A:A, DATA_BOLT!Z:Z, 0), 0)))</f>
        <v>0</v>
      </c>
      <c r="L13" s="50">
        <f>IF(B13="", "", IF(OR(D13="", D13="—"), 0, IFNA(XLOOKUP(D13, DATA_BOLT!A:A, DATA_BOLT!G:G, 0), 0)))</f>
        <v>0</v>
      </c>
      <c r="M13" s="54">
        <f>IF(B13="", "", I13 + K13)</f>
        <v>159.89</v>
      </c>
      <c r="N13" s="54">
        <f>IF(B13="", "", IF(OR(I13&lt;&gt;0, K13&lt;&gt;0, J13&lt;&gt;0, L13&lt;&gt;0), IFNA(XLOOKUP(B13, ANNUAIRE_FLOTTE!B:B, ANNUAIRE_FLOTTE!J:J, 50), 50), 0))</f>
        <v>50</v>
      </c>
      <c r="O13" s="54">
        <v>137.5</v>
      </c>
      <c r="P13" s="54">
        <v>0</v>
      </c>
      <c r="Q13" s="54">
        <v>0</v>
      </c>
      <c r="R13" s="51">
        <f>IF(B13="", "", M13 - N13 - O13 - Q13 + P13)</f>
        <v>-27.61</v>
      </c>
      <c r="S13" s="18" t="s">
        <v>279</v>
      </c>
    </row>
    <row r="14" ht="28" customHeight="1" spans="1:19" x14ac:dyDescent="0.25">
      <c r="A14" s="8" t="s">
        <v>291</v>
      </c>
      <c r="B14" s="9" t="s">
        <v>226</v>
      </c>
      <c r="C14" s="10" t="s">
        <v>88</v>
      </c>
      <c r="D14" s="10" t="s">
        <v>226</v>
      </c>
      <c r="E14" s="47" t="s">
        <v>292</v>
      </c>
      <c r="F14" s="47" t="s">
        <v>227</v>
      </c>
      <c r="G14" s="48" t="s">
        <v>228</v>
      </c>
      <c r="H14" s="48" t="s">
        <v>228</v>
      </c>
      <c r="I14" s="49">
        <f>IF(B14="", "", IF(OR(C14="", C14="—"), 0, IFNA(XLOOKUP(C14, DATA_UBER!A:A, DATA_UBER!Z:Z, 0), 0)))</f>
        <v>68.55</v>
      </c>
      <c r="J14" s="50">
        <f>IF(B14="", "", IF(OR(C14="", C14="—"), 0, IFNA(XLOOKUP(C14, DATA_UBER!A:A, DATA_UBER!J:J, 0), 0)))</f>
        <v>0</v>
      </c>
      <c r="K14" s="49">
        <f>IF(B14="", "", IF(OR(D14="", D14="—"), 0, IFNA(XLOOKUP(D14, DATA_BOLT!A:A, DATA_BOLT!Z:Z, 0), 0)))</f>
        <v>50.92</v>
      </c>
      <c r="L14" s="50">
        <f>IF(B14="", "", IF(OR(D14="", D14="—"), 0, IFNA(XLOOKUP(D14, DATA_BOLT!A:A, DATA_BOLT!G:G, 0), 0)))</f>
        <v>0</v>
      </c>
      <c r="M14" s="49">
        <f>IF(B14="", "", I14 + K14)</f>
        <v>119.47</v>
      </c>
      <c r="N14" s="49">
        <f>IF(B14="", "", IF(OR(I14&lt;&gt;0, K14&lt;&gt;0, J14&lt;&gt;0, L14&lt;&gt;0), IFNA(XLOOKUP(B14, ANNUAIRE_FLOTTE!B:B, ANNUAIRE_FLOTTE!J:J, 50), 50), 0))</f>
        <v>50</v>
      </c>
      <c r="O14" s="49">
        <v>0</v>
      </c>
      <c r="P14" s="49">
        <v>0</v>
      </c>
      <c r="Q14" s="49">
        <v>0</v>
      </c>
      <c r="R14" s="55">
        <f>IF(B14="", "", M14 - N14 - O14 - Q14 + P14)</f>
        <v>69.47</v>
      </c>
      <c r="S14" s="12" t="s">
        <v>279</v>
      </c>
    </row>
    <row r="15" ht="28" customHeight="1" spans="1:19" x14ac:dyDescent="0.25">
      <c r="A15" s="14" t="s">
        <v>293</v>
      </c>
      <c r="B15" s="15" t="s">
        <v>294</v>
      </c>
      <c r="C15" s="16" t="s">
        <v>294</v>
      </c>
      <c r="D15" s="16" t="s">
        <v>279</v>
      </c>
      <c r="E15" s="52" t="s">
        <v>295</v>
      </c>
      <c r="F15" s="52" t="s">
        <v>279</v>
      </c>
      <c r="G15" s="53" t="s">
        <v>296</v>
      </c>
      <c r="H15" s="53" t="s">
        <v>279</v>
      </c>
      <c r="I15" s="54">
        <f>IF(B15="", "", IF(OR(C15="", C15="—"), 0, IFNA(XLOOKUP(C15, DATA_UBER!A:A, DATA_UBER!Z:Z, 0), 0)))</f>
        <v>0</v>
      </c>
      <c r="J15" s="50">
        <f>IF(B15="", "", IF(OR(C15="", C15="—"), 0, IFNA(XLOOKUP(C15, DATA_UBER!A:A, DATA_UBER!J:J, 0), 0)))</f>
        <v>0</v>
      </c>
      <c r="K15" s="54">
        <f>IF(B15="", "", IF(OR(D15="", D15="—"), 0, IFNA(XLOOKUP(D15, DATA_BOLT!A:A, DATA_BOLT!Z:Z, 0), 0)))</f>
        <v>0</v>
      </c>
      <c r="L15" s="50">
        <f>IF(B15="", "", IF(OR(D15="", D15="—"), 0, IFNA(XLOOKUP(D15, DATA_BOLT!A:A, DATA_BOLT!G:G, 0), 0)))</f>
        <v>0</v>
      </c>
      <c r="M15" s="54">
        <f>IF(B15="", "", I15 + K15)</f>
        <v>0</v>
      </c>
      <c r="N15" s="54">
        <f>IF(B15="", "", IF(OR(I15&lt;&gt;0, K15&lt;&gt;0, J15&lt;&gt;0, L15&lt;&gt;0), IFNA(XLOOKUP(B15, ANNUAIRE_FLOTTE!B:B, ANNUAIRE_FLOTTE!J:J, 50), 50), 0))</f>
        <v>0</v>
      </c>
      <c r="O15" s="54">
        <v>0</v>
      </c>
      <c r="P15" s="54">
        <v>0</v>
      </c>
      <c r="Q15" s="54">
        <v>0</v>
      </c>
      <c r="R15" s="56">
        <f>IF(B15="", "", M15 - N15 - O15 - Q15 + P15)</f>
        <v>0</v>
      </c>
      <c r="S15" s="18" t="s">
        <v>279</v>
      </c>
    </row>
    <row r="16" ht="28" customHeight="1" spans="1:19" x14ac:dyDescent="0.25">
      <c r="A16" s="8" t="s">
        <v>297</v>
      </c>
      <c r="B16" s="9" t="s">
        <v>298</v>
      </c>
      <c r="C16" s="10" t="s">
        <v>298</v>
      </c>
      <c r="D16" s="10" t="s">
        <v>156</v>
      </c>
      <c r="E16" s="47" t="s">
        <v>299</v>
      </c>
      <c r="F16" s="47" t="s">
        <v>157</v>
      </c>
      <c r="G16" s="48" t="s">
        <v>158</v>
      </c>
      <c r="H16" s="48" t="s">
        <v>158</v>
      </c>
      <c r="I16" s="49">
        <f>IF(B16="", "", IF(OR(C16="", C16="—"), 0, IFNA(XLOOKUP(C16, DATA_UBER!A:A, DATA_UBER!Z:Z, 0), 0)))</f>
        <v>0</v>
      </c>
      <c r="J16" s="50">
        <f>IF(B16="", "", IF(OR(C16="", C16="—"), 0, IFNA(XLOOKUP(C16, DATA_UBER!A:A, DATA_UBER!J:J, 0), 0)))</f>
        <v>0</v>
      </c>
      <c r="K16" s="49">
        <f>IF(B16="", "", IF(OR(D16="", D16="—"), 0, IFNA(XLOOKUP(D16, DATA_BOLT!A:A, DATA_BOLT!Z:Z, 0), 0)))</f>
        <v>350.58</v>
      </c>
      <c r="L16" s="50">
        <f>IF(B16="", "", IF(OR(D16="", D16="—"), 0, IFNA(XLOOKUP(D16, DATA_BOLT!A:A, DATA_BOLT!G:G, 0), 0)))</f>
        <v>136.7</v>
      </c>
      <c r="M16" s="49">
        <f>IF(B16="", "", I16 + K16)</f>
        <v>350.58</v>
      </c>
      <c r="N16" s="49">
        <f>IF(B16="", "", IF(OR(I16&lt;&gt;0, K16&lt;&gt;0, J16&lt;&gt;0, L16&lt;&gt;0), IFNA(XLOOKUP(B16, ANNUAIRE_FLOTTE!B:B, ANNUAIRE_FLOTTE!J:J, 50), 50), 0))</f>
        <v>60</v>
      </c>
      <c r="O16" s="49">
        <v>0</v>
      </c>
      <c r="P16" s="49">
        <v>0</v>
      </c>
      <c r="Q16" s="49">
        <v>0</v>
      </c>
      <c r="R16" s="55">
        <f>IF(B16="", "", M16 - N16 - O16 - Q16 + P16)</f>
        <v>290.58</v>
      </c>
      <c r="S16" s="12" t="s">
        <v>279</v>
      </c>
    </row>
    <row r="17" ht="28" customHeight="1" spans="1:19" x14ac:dyDescent="0.25">
      <c r="A17" s="14" t="s">
        <v>300</v>
      </c>
      <c r="B17" s="15" t="s">
        <v>160</v>
      </c>
      <c r="C17" s="16" t="s">
        <v>301</v>
      </c>
      <c r="D17" s="16" t="s">
        <v>160</v>
      </c>
      <c r="E17" s="52" t="s">
        <v>161</v>
      </c>
      <c r="F17" s="52" t="s">
        <v>161</v>
      </c>
      <c r="G17" s="53" t="s">
        <v>162</v>
      </c>
      <c r="H17" s="53" t="s">
        <v>162</v>
      </c>
      <c r="I17" s="54">
        <f>IF(B17="", "", IF(OR(C17="", C17="—"), 0, IFNA(XLOOKUP(C17, DATA_UBER!A:A, DATA_UBER!Z:Z, 0), 0)))</f>
        <v>0</v>
      </c>
      <c r="J17" s="50">
        <f>IF(B17="", "", IF(OR(C17="", C17="—"), 0, IFNA(XLOOKUP(C17, DATA_UBER!A:A, DATA_UBER!J:J, 0), 0)))</f>
        <v>0</v>
      </c>
      <c r="K17" s="54">
        <f>IF(B17="", "", IF(OR(D17="", D17="—"), 0, IFNA(XLOOKUP(D17, DATA_BOLT!A:A, DATA_BOLT!Z:Z, 0), 0)))</f>
        <v>330.54</v>
      </c>
      <c r="L17" s="50">
        <f>IF(B17="", "", IF(OR(D17="", D17="—"), 0, IFNA(XLOOKUP(D17, DATA_BOLT!A:A, DATA_BOLT!G:G, 0), 0)))</f>
        <v>334.8</v>
      </c>
      <c r="M17" s="54">
        <f>IF(B17="", "", I17 + K17)</f>
        <v>330.54</v>
      </c>
      <c r="N17" s="54">
        <f>IF(B17="", "", IF(OR(I17&lt;&gt;0, K17&lt;&gt;0, J17&lt;&gt;0, L17&lt;&gt;0), IFNA(XLOOKUP(B17, ANNUAIRE_FLOTTE!B:B, ANNUAIRE_FLOTTE!J:J, 50), 50), 0))</f>
        <v>60</v>
      </c>
      <c r="O17" s="54">
        <v>0</v>
      </c>
      <c r="P17" s="54">
        <v>0</v>
      </c>
      <c r="Q17" s="54">
        <v>0</v>
      </c>
      <c r="R17" s="55">
        <f>IF(B17="", "", M17 - N17 - O17 - Q17 + P17)</f>
        <v>270.54</v>
      </c>
      <c r="S17" s="18" t="s">
        <v>279</v>
      </c>
    </row>
    <row r="18" ht="28" customHeight="1" spans="1:19" x14ac:dyDescent="0.25">
      <c r="A18" s="8" t="s">
        <v>302</v>
      </c>
      <c r="B18" s="9" t="s">
        <v>303</v>
      </c>
      <c r="C18" s="10" t="s">
        <v>303</v>
      </c>
      <c r="D18" s="10" t="s">
        <v>303</v>
      </c>
      <c r="E18" s="47" t="s">
        <v>304</v>
      </c>
      <c r="F18" s="47" t="s">
        <v>304</v>
      </c>
      <c r="G18" s="48" t="s">
        <v>305</v>
      </c>
      <c r="H18" s="48" t="s">
        <v>305</v>
      </c>
      <c r="I18" s="49">
        <f>IF(B18="", "", IF(OR(C18="", C18="—"), 0, IFNA(XLOOKUP(C18, DATA_UBER!A:A, DATA_UBER!Z:Z, 0), 0)))</f>
        <v>0</v>
      </c>
      <c r="J18" s="50">
        <f>IF(B18="", "", IF(OR(C18="", C18="—"), 0, IFNA(XLOOKUP(C18, DATA_UBER!A:A, DATA_UBER!J:J, 0), 0)))</f>
        <v>0</v>
      </c>
      <c r="K18" s="49">
        <f>IF(B18="", "", IF(OR(D18="", D18="—"), 0, IFNA(XLOOKUP(D18, DATA_BOLT!A:A, DATA_BOLT!Z:Z, 0), 0)))</f>
        <v>0</v>
      </c>
      <c r="L18" s="50">
        <f>IF(B18="", "", IF(OR(D18="", D18="—"), 0, IFNA(XLOOKUP(D18, DATA_BOLT!A:A, DATA_BOLT!G:G, 0), 0)))</f>
        <v>0</v>
      </c>
      <c r="M18" s="49">
        <f>IF(B18="", "", I18 + K18)</f>
        <v>0</v>
      </c>
      <c r="N18" s="49">
        <f>IF(B18="", "", IF(OR(I18&lt;&gt;0, K18&lt;&gt;0, J18&lt;&gt;0, L18&lt;&gt;0), IFNA(XLOOKUP(B18, ANNUAIRE_FLOTTE!B:B, ANNUAIRE_FLOTTE!J:J, 50), 50), 0))</f>
        <v>0</v>
      </c>
      <c r="O18" s="49">
        <v>0</v>
      </c>
      <c r="P18" s="49">
        <v>0</v>
      </c>
      <c r="Q18" s="49">
        <v>0</v>
      </c>
      <c r="R18" s="57">
        <f>IF(B18="", "", M18 - N18 - O18 - Q18 + P18)</f>
        <v>0</v>
      </c>
      <c r="S18" s="12" t="s">
        <v>279</v>
      </c>
    </row>
    <row r="19" ht="28" customHeight="1" spans="1:19" x14ac:dyDescent="0.25">
      <c r="A19" s="14" t="s">
        <v>306</v>
      </c>
      <c r="B19" s="15" t="s">
        <v>85</v>
      </c>
      <c r="C19" s="16" t="s">
        <v>85</v>
      </c>
      <c r="D19" s="16" t="s">
        <v>85</v>
      </c>
      <c r="E19" s="52" t="s">
        <v>180</v>
      </c>
      <c r="F19" s="52" t="s">
        <v>180</v>
      </c>
      <c r="G19" s="53" t="s">
        <v>181</v>
      </c>
      <c r="H19" s="53" t="s">
        <v>181</v>
      </c>
      <c r="I19" s="54">
        <f>IF(B19="", "", IF(OR(C19="", C19="—"), 0, IFNA(XLOOKUP(C19, DATA_UBER!A:A, DATA_UBER!Z:Z, 0), 0)))</f>
        <v>159.28</v>
      </c>
      <c r="J19" s="50">
        <f>IF(B19="", "", IF(OR(C19="", C19="—"), 0, IFNA(XLOOKUP(C19, DATA_UBER!A:A, DATA_UBER!J:J, 0), 0)))</f>
        <v>0</v>
      </c>
      <c r="K19" s="54">
        <f>IF(B19="", "", IF(OR(D19="", D19="—"), 0, IFNA(XLOOKUP(D19, DATA_BOLT!A:A, DATA_BOLT!Z:Z, 0), 0)))</f>
        <v>182.63</v>
      </c>
      <c r="L19" s="50">
        <f>IF(B19="", "", IF(OR(D19="", D19="—"), 0, IFNA(XLOOKUP(D19, DATA_BOLT!A:A, DATA_BOLT!G:G, 0), 0)))</f>
        <v>95</v>
      </c>
      <c r="M19" s="54">
        <f>IF(B19="", "", I19 + K19)</f>
        <v>341.91</v>
      </c>
      <c r="N19" s="54">
        <f>IF(B19="", "", IF(OR(I19&lt;&gt;0, K19&lt;&gt;0, J19&lt;&gt;0, L19&lt;&gt;0), IFNA(XLOOKUP(B19, ANNUAIRE_FLOTTE!B:B, ANNUAIRE_FLOTTE!J:J, 50), 50), 0))</f>
        <v>60</v>
      </c>
      <c r="O19" s="54">
        <v>0</v>
      </c>
      <c r="P19" s="54">
        <v>0</v>
      </c>
      <c r="Q19" s="54">
        <v>0</v>
      </c>
      <c r="R19" s="55">
        <f>IF(B19="", "", M19 - N19 - O19 - Q19 + P19)</f>
        <v>281.91</v>
      </c>
      <c r="S19" s="18" t="s">
        <v>279</v>
      </c>
    </row>
    <row r="20" ht="28" customHeight="1" spans="1:19" x14ac:dyDescent="0.25">
      <c r="A20" s="8" t="s">
        <v>307</v>
      </c>
      <c r="B20" s="9" t="s">
        <v>199</v>
      </c>
      <c r="C20" s="10" t="s">
        <v>43</v>
      </c>
      <c r="D20" s="10" t="s">
        <v>199</v>
      </c>
      <c r="E20" s="47" t="s">
        <v>308</v>
      </c>
      <c r="F20" s="47" t="s">
        <v>200</v>
      </c>
      <c r="G20" s="48" t="s">
        <v>201</v>
      </c>
      <c r="H20" s="48" t="s">
        <v>201</v>
      </c>
      <c r="I20" s="49">
        <f>IF(B20="", "", IF(OR(C20="", C20="—"), 0, IFNA(XLOOKUP(C20, DATA_UBER!A:A, DATA_UBER!Z:Z, 0), 0)))</f>
        <v>44.43</v>
      </c>
      <c r="J20" s="50">
        <f>IF(B20="", "", IF(OR(C20="", C20="—"), 0, IFNA(XLOOKUP(C20, DATA_UBER!A:A, DATA_UBER!J:J, 0), 0)))</f>
        <v>0</v>
      </c>
      <c r="K20" s="49">
        <f>IF(B20="", "", IF(OR(D20="", D20="—"), 0, IFNA(XLOOKUP(D20, DATA_BOLT!A:A, DATA_BOLT!Z:Z, 0), 0)))</f>
        <v>249.5</v>
      </c>
      <c r="L20" s="50">
        <f>IF(B20="", "", IF(OR(D20="", D20="—"), 0, IFNA(XLOOKUP(D20, DATA_BOLT!A:A, DATA_BOLT!G:G, 0), 0)))</f>
        <v>90.3</v>
      </c>
      <c r="M20" s="49">
        <f>IF(B20="", "", I20 + K20)</f>
        <v>293.93</v>
      </c>
      <c r="N20" s="49">
        <f>IF(B20="", "", IF(OR(I20&lt;&gt;0, K20&lt;&gt;0, J20&lt;&gt;0, L20&lt;&gt;0), IFNA(XLOOKUP(B20, ANNUAIRE_FLOTTE!B:B, ANNUAIRE_FLOTTE!J:J, 50), 50), 0))</f>
        <v>60</v>
      </c>
      <c r="O20" s="49">
        <v>0</v>
      </c>
      <c r="P20" s="49">
        <v>0</v>
      </c>
      <c r="Q20" s="49">
        <v>0</v>
      </c>
      <c r="R20" s="55">
        <f>IF(B20="", "", M20 - N20 - O20 - Q20 + P20)</f>
        <v>233.93</v>
      </c>
      <c r="S20" s="12" t="s">
        <v>279</v>
      </c>
    </row>
    <row r="21" ht="28" customHeight="1" spans="1:19" x14ac:dyDescent="0.25">
      <c r="A21" s="14" t="s">
        <v>309</v>
      </c>
      <c r="B21" s="15" t="s">
        <v>203</v>
      </c>
      <c r="C21" s="16" t="s">
        <v>310</v>
      </c>
      <c r="D21" s="16" t="s">
        <v>203</v>
      </c>
      <c r="E21" s="52" t="s">
        <v>311</v>
      </c>
      <c r="F21" s="52" t="s">
        <v>204</v>
      </c>
      <c r="G21" s="53" t="s">
        <v>205</v>
      </c>
      <c r="H21" s="53" t="s">
        <v>205</v>
      </c>
      <c r="I21" s="54">
        <f>IF(B21="", "", IF(OR(C21="", C21="—"), 0, IFNA(XLOOKUP(C21, DATA_UBER!A:A, DATA_UBER!Z:Z, 0), 0)))</f>
        <v>0</v>
      </c>
      <c r="J21" s="50">
        <f>IF(B21="", "", IF(OR(C21="", C21="—"), 0, IFNA(XLOOKUP(C21, DATA_UBER!A:A, DATA_UBER!J:J, 0), 0)))</f>
        <v>0</v>
      </c>
      <c r="K21" s="54">
        <f>IF(B21="", "", IF(OR(D21="", D21="—"), 0, IFNA(XLOOKUP(D21, DATA_BOLT!A:A, DATA_BOLT!Z:Z, 0), 0)))</f>
        <v>551.91</v>
      </c>
      <c r="L21" s="50">
        <f>IF(B21="", "", IF(OR(D21="", D21="—"), 0, IFNA(XLOOKUP(D21, DATA_BOLT!A:A, DATA_BOLT!G:G, 0), 0)))</f>
        <v>137.3</v>
      </c>
      <c r="M21" s="54">
        <f>IF(B21="", "", I21 + K21)</f>
        <v>551.91</v>
      </c>
      <c r="N21" s="54">
        <f>IF(B21="", "", IF(OR(I21&lt;&gt;0, K21&lt;&gt;0, J21&lt;&gt;0, L21&lt;&gt;0), IFNA(XLOOKUP(B21, ANNUAIRE_FLOTTE!B:B, ANNUAIRE_FLOTTE!J:J, 50), 50), 0))</f>
        <v>60</v>
      </c>
      <c r="O21" s="54">
        <v>0</v>
      </c>
      <c r="P21" s="54">
        <v>0</v>
      </c>
      <c r="Q21" s="54">
        <v>0</v>
      </c>
      <c r="R21" s="55">
        <f>IF(B21="", "", M21 - N21 - O21 - Q21 + P21)</f>
        <v>491.91</v>
      </c>
      <c r="S21" s="18" t="s">
        <v>279</v>
      </c>
    </row>
    <row r="22" ht="28" customHeight="1" spans="1:19" x14ac:dyDescent="0.25">
      <c r="A22" s="8" t="s">
        <v>312</v>
      </c>
      <c r="B22" s="9" t="s">
        <v>313</v>
      </c>
      <c r="C22" s="10" t="s">
        <v>313</v>
      </c>
      <c r="D22" s="10" t="s">
        <v>279</v>
      </c>
      <c r="E22" s="47" t="s">
        <v>314</v>
      </c>
      <c r="F22" s="47" t="s">
        <v>279</v>
      </c>
      <c r="G22" s="48" t="s">
        <v>315</v>
      </c>
      <c r="H22" s="48" t="s">
        <v>279</v>
      </c>
      <c r="I22" s="49">
        <f>IF(B22="", "", IF(OR(C22="", C22="—"), 0, IFNA(XLOOKUP(C22, DATA_UBER!A:A, DATA_UBER!Z:Z, 0), 0)))</f>
        <v>0</v>
      </c>
      <c r="J22" s="50">
        <f>IF(B22="", "", IF(OR(C22="", C22="—"), 0, IFNA(XLOOKUP(C22, DATA_UBER!A:A, DATA_UBER!J:J, 0), 0)))</f>
        <v>0</v>
      </c>
      <c r="K22" s="49">
        <f>IF(B22="", "", IF(OR(D22="", D22="—"), 0, IFNA(XLOOKUP(D22, DATA_BOLT!A:A, DATA_BOLT!Z:Z, 0), 0)))</f>
        <v>0</v>
      </c>
      <c r="L22" s="50">
        <f>IF(B22="", "", IF(OR(D22="", D22="—"), 0, IFNA(XLOOKUP(D22, DATA_BOLT!A:A, DATA_BOLT!G:G, 0), 0)))</f>
        <v>0</v>
      </c>
      <c r="M22" s="49">
        <f>IF(B22="", "", I22 + K22)</f>
        <v>0</v>
      </c>
      <c r="N22" s="49">
        <f>IF(B22="", "", IF(OR(I22&lt;&gt;0, K22&lt;&gt;0, J22&lt;&gt;0, L22&lt;&gt;0), IFNA(XLOOKUP(B22, ANNUAIRE_FLOTTE!B:B, ANNUAIRE_FLOTTE!J:J, 50), 50), 0))</f>
        <v>0</v>
      </c>
      <c r="O22" s="49">
        <v>0</v>
      </c>
      <c r="P22" s="49">
        <v>0</v>
      </c>
      <c r="Q22" s="49">
        <v>0</v>
      </c>
      <c r="R22" s="57">
        <f>IF(B22="", "", M22 - N22 - O22 - Q22 + P22)</f>
        <v>0</v>
      </c>
      <c r="S22" s="12" t="s">
        <v>279</v>
      </c>
    </row>
    <row r="23" ht="28" customHeight="1" spans="1:19" x14ac:dyDescent="0.25">
      <c r="A23" s="14" t="s">
        <v>316</v>
      </c>
      <c r="B23" s="15" t="s">
        <v>317</v>
      </c>
      <c r="C23" s="16" t="s">
        <v>317</v>
      </c>
      <c r="D23" s="16" t="s">
        <v>317</v>
      </c>
      <c r="E23" s="52" t="s">
        <v>318</v>
      </c>
      <c r="F23" s="52" t="s">
        <v>319</v>
      </c>
      <c r="G23" s="53" t="s">
        <v>320</v>
      </c>
      <c r="H23" s="53" t="s">
        <v>320</v>
      </c>
      <c r="I23" s="54">
        <f>IF(B23="", "", IF(OR(C23="", C23="—"), 0, IFNA(XLOOKUP(C23, DATA_UBER!A:A, DATA_UBER!Z:Z, 0), 0)))</f>
        <v>0</v>
      </c>
      <c r="J23" s="50">
        <f>IF(B23="", "", IF(OR(C23="", C23="—"), 0, IFNA(XLOOKUP(C23, DATA_UBER!A:A, DATA_UBER!J:J, 0), 0)))</f>
        <v>0</v>
      </c>
      <c r="K23" s="54">
        <f>IF(B23="", "", IF(OR(D23="", D23="—"), 0, IFNA(XLOOKUP(D23, DATA_BOLT!A:A, DATA_BOLT!Z:Z, 0), 0)))</f>
        <v>0</v>
      </c>
      <c r="L23" s="50">
        <f>IF(B23="", "", IF(OR(D23="", D23="—"), 0, IFNA(XLOOKUP(D23, DATA_BOLT!A:A, DATA_BOLT!G:G, 0), 0)))</f>
        <v>0</v>
      </c>
      <c r="M23" s="54">
        <f>IF(B23="", "", I23 + K23)</f>
        <v>0</v>
      </c>
      <c r="N23" s="54">
        <f>IF(B23="", "", IF(OR(I23&lt;&gt;0, K23&lt;&gt;0, J23&lt;&gt;0, L23&lt;&gt;0), IFNA(XLOOKUP(B23, ANNUAIRE_FLOTTE!B:B, ANNUAIRE_FLOTTE!J:J, 50), 50), 0))</f>
        <v>0</v>
      </c>
      <c r="O23" s="54">
        <v>0</v>
      </c>
      <c r="P23" s="54">
        <v>0</v>
      </c>
      <c r="Q23" s="54">
        <v>0</v>
      </c>
      <c r="R23" s="56">
        <f>IF(B23="", "", M23 - N23 - O23 - Q23 + P23)</f>
        <v>0</v>
      </c>
      <c r="S23" s="18" t="s">
        <v>279</v>
      </c>
    </row>
    <row r="24" ht="28" customHeight="1" spans="1:19" x14ac:dyDescent="0.25">
      <c r="A24" s="8" t="s">
        <v>321</v>
      </c>
      <c r="B24" s="9" t="s">
        <v>34</v>
      </c>
      <c r="C24" s="10" t="s">
        <v>34</v>
      </c>
      <c r="D24" s="10" t="s">
        <v>237</v>
      </c>
      <c r="E24" s="47" t="s">
        <v>322</v>
      </c>
      <c r="F24" s="47" t="s">
        <v>238</v>
      </c>
      <c r="G24" s="48" t="s">
        <v>239</v>
      </c>
      <c r="H24" s="48" t="s">
        <v>239</v>
      </c>
      <c r="I24" s="49">
        <f>IF(B24="", "", IF(OR(C24="", C24="—"), 0, IFNA(XLOOKUP(C24, DATA_UBER!A:A, DATA_UBER!Z:Z, 0), 0)))</f>
        <v>9.28</v>
      </c>
      <c r="J24" s="50">
        <f>IF(B24="", "", IF(OR(C24="", C24="—"), 0, IFNA(XLOOKUP(C24, DATA_UBER!A:A, DATA_UBER!J:J, 0), 0)))</f>
        <v>0</v>
      </c>
      <c r="K24" s="49">
        <f>IF(B24="", "", IF(OR(D24="", D24="—"), 0, IFNA(XLOOKUP(D24, DATA_BOLT!A:A, DATA_BOLT!Z:Z, 0), 0)))</f>
        <v>160.85</v>
      </c>
      <c r="L24" s="50">
        <f>IF(B24="", "", IF(OR(D24="", D24="—"), 0, IFNA(XLOOKUP(D24, DATA_BOLT!A:A, DATA_BOLT!G:G, 0), 0)))</f>
        <v>625</v>
      </c>
      <c r="M24" s="49">
        <f>IF(B24="", "", I24 + K24)</f>
        <v>170.13</v>
      </c>
      <c r="N24" s="49">
        <f>IF(B24="", "", IF(OR(I24&lt;&gt;0, K24&lt;&gt;0, J24&lt;&gt;0, L24&lt;&gt;0), IFNA(XLOOKUP(B24, ANNUAIRE_FLOTTE!B:B, ANNUAIRE_FLOTTE!J:J, 50), 50), 0))</f>
        <v>60</v>
      </c>
      <c r="O24" s="49">
        <v>0</v>
      </c>
      <c r="P24" s="49">
        <v>0</v>
      </c>
      <c r="Q24" s="49">
        <v>0</v>
      </c>
      <c r="R24" s="55">
        <f>IF(B24="", "", M24 - N24 - O24 - Q24 + P24)</f>
        <v>110.13</v>
      </c>
      <c r="S24" s="12" t="s">
        <v>279</v>
      </c>
    </row>
    <row r="25" ht="28" customHeight="1" spans="1:19" x14ac:dyDescent="0.25">
      <c r="A25" s="14" t="s">
        <v>323</v>
      </c>
      <c r="B25" s="15" t="s">
        <v>259</v>
      </c>
      <c r="C25" s="16" t="s">
        <v>259</v>
      </c>
      <c r="D25" s="16" t="s">
        <v>259</v>
      </c>
      <c r="E25" s="52" t="s">
        <v>324</v>
      </c>
      <c r="F25" s="52" t="s">
        <v>260</v>
      </c>
      <c r="G25" s="53" t="s">
        <v>261</v>
      </c>
      <c r="H25" s="53" t="s">
        <v>261</v>
      </c>
      <c r="I25" s="54">
        <f>IF(B25="", "", IF(OR(C25="", C25="—"), 0, IFNA(XLOOKUP(C25, DATA_UBER!A:A, DATA_UBER!Z:Z, 0), 0)))</f>
        <v>0</v>
      </c>
      <c r="J25" s="50">
        <f>IF(B25="", "", IF(OR(C25="", C25="—"), 0, IFNA(XLOOKUP(C25, DATA_UBER!A:A, DATA_UBER!J:J, 0), 0)))</f>
        <v>0</v>
      </c>
      <c r="K25" s="54">
        <f>IF(B25="", "", IF(OR(D25="", D25="—"), 0, IFNA(XLOOKUP(D25, DATA_BOLT!A:A, DATA_BOLT!Z:Z, 0), 0)))</f>
        <v>142.12</v>
      </c>
      <c r="L25" s="50">
        <f>IF(B25="", "", IF(OR(D25="", D25="—"), 0, IFNA(XLOOKUP(D25, DATA_BOLT!A:A, DATA_BOLT!G:G, 0), 0)))</f>
        <v>206.9</v>
      </c>
      <c r="M25" s="54">
        <f>IF(B25="", "", I25 + K25)</f>
        <v>142.12</v>
      </c>
      <c r="N25" s="54">
        <f>IF(B25="", "", IF(OR(I25&lt;&gt;0, K25&lt;&gt;0, J25&lt;&gt;0, L25&lt;&gt;0), IFNA(XLOOKUP(B25, ANNUAIRE_FLOTTE!B:B, ANNUAIRE_FLOTTE!J:J, 50), 50), 0))</f>
        <v>60</v>
      </c>
      <c r="O25" s="54">
        <v>0</v>
      </c>
      <c r="P25" s="54">
        <v>0</v>
      </c>
      <c r="Q25" s="54">
        <v>0</v>
      </c>
      <c r="R25" s="55">
        <f>IF(B25="", "", M25 - N25 - O25 - Q25 + P25)</f>
        <v>82.12</v>
      </c>
      <c r="S25" s="18" t="s">
        <v>279</v>
      </c>
    </row>
    <row r="26" ht="28" customHeight="1" spans="1:19" x14ac:dyDescent="0.25">
      <c r="A26" s="8" t="s">
        <v>325</v>
      </c>
      <c r="B26" s="9" t="s">
        <v>326</v>
      </c>
      <c r="C26" s="10" t="s">
        <v>326</v>
      </c>
      <c r="D26" s="10" t="s">
        <v>327</v>
      </c>
      <c r="E26" s="47" t="s">
        <v>328</v>
      </c>
      <c r="F26" s="47" t="s">
        <v>328</v>
      </c>
      <c r="G26" s="48" t="s">
        <v>329</v>
      </c>
      <c r="H26" s="48" t="s">
        <v>329</v>
      </c>
      <c r="I26" s="49">
        <f>IF(B26="", "", IF(OR(C26="", C26="—"), 0, IFNA(XLOOKUP(C26, DATA_UBER!A:A, DATA_UBER!Z:Z, 0), 0)))</f>
        <v>0</v>
      </c>
      <c r="J26" s="50">
        <f>IF(B26="", "", IF(OR(C26="", C26="—"), 0, IFNA(XLOOKUP(C26, DATA_UBER!A:A, DATA_UBER!J:J, 0), 0)))</f>
        <v>0</v>
      </c>
      <c r="K26" s="49">
        <f>IF(B26="", "", IF(OR(D26="", D26="—"), 0, IFNA(XLOOKUP(D26, DATA_BOLT!A:A, DATA_BOLT!Z:Z, 0), 0)))</f>
        <v>0</v>
      </c>
      <c r="L26" s="50">
        <f>IF(B26="", "", IF(OR(D26="", D26="—"), 0, IFNA(XLOOKUP(D26, DATA_BOLT!A:A, DATA_BOLT!G:G, 0), 0)))</f>
        <v>0</v>
      </c>
      <c r="M26" s="49">
        <f>IF(B26="", "", I26 + K26)</f>
        <v>0</v>
      </c>
      <c r="N26" s="49">
        <f>IF(B26="", "", IF(OR(I26&lt;&gt;0, K26&lt;&gt;0, J26&lt;&gt;0, L26&lt;&gt;0), IFNA(XLOOKUP(B26, ANNUAIRE_FLOTTE!B:B, ANNUAIRE_FLOTTE!J:J, 50), 50), 0))</f>
        <v>0</v>
      </c>
      <c r="O26" s="49">
        <v>0</v>
      </c>
      <c r="P26" s="49">
        <v>0</v>
      </c>
      <c r="Q26" s="49">
        <v>0</v>
      </c>
      <c r="R26" s="57">
        <f>IF(B26="", "", M26 - N26 - O26 - Q26 + P26)</f>
        <v>0</v>
      </c>
      <c r="S26" s="12" t="s">
        <v>279</v>
      </c>
    </row>
    <row r="27" ht="28" customHeight="1" spans="1:19" x14ac:dyDescent="0.25">
      <c r="A27" s="14" t="s">
        <v>330</v>
      </c>
      <c r="B27" s="15" t="s">
        <v>46</v>
      </c>
      <c r="C27" s="16" t="s">
        <v>46</v>
      </c>
      <c r="D27" s="16" t="s">
        <v>279</v>
      </c>
      <c r="E27" s="52" t="s">
        <v>331</v>
      </c>
      <c r="F27" s="52" t="s">
        <v>279</v>
      </c>
      <c r="G27" s="53" t="s">
        <v>332</v>
      </c>
      <c r="H27" s="53" t="s">
        <v>279</v>
      </c>
      <c r="I27" s="54">
        <f>IF(B27="", "", IF(OR(C27="", C27="—"), 0, IFNA(XLOOKUP(C27, DATA_UBER!A:A, DATA_UBER!Z:Z, 0), 0)))</f>
        <v>170.09</v>
      </c>
      <c r="J27" s="50">
        <f>IF(B27="", "", IF(OR(C27="", C27="—"), 0, IFNA(XLOOKUP(C27, DATA_UBER!A:A, DATA_UBER!J:J, 0), 0)))</f>
        <v>50.95</v>
      </c>
      <c r="K27" s="54">
        <f>IF(B27="", "", IF(OR(D27="", D27="—"), 0, IFNA(XLOOKUP(D27, DATA_BOLT!A:A, DATA_BOLT!Z:Z, 0), 0)))</f>
        <v>0</v>
      </c>
      <c r="L27" s="50">
        <f>IF(B27="", "", IF(OR(D27="", D27="—"), 0, IFNA(XLOOKUP(D27, DATA_BOLT!A:A, DATA_BOLT!G:G, 0), 0)))</f>
        <v>0</v>
      </c>
      <c r="M27" s="54">
        <f>IF(B27="", "", I27 + K27)</f>
        <v>170.09</v>
      </c>
      <c r="N27" s="54">
        <f>IF(B27="", "", IF(OR(I27&lt;&gt;0, K27&lt;&gt;0, J27&lt;&gt;0, L27&lt;&gt;0), IFNA(XLOOKUP(B27, ANNUAIRE_FLOTTE!B:B, ANNUAIRE_FLOTTE!J:J, 50), 50), 0))</f>
        <v>50</v>
      </c>
      <c r="O27" s="54">
        <v>0</v>
      </c>
      <c r="P27" s="54">
        <v>0</v>
      </c>
      <c r="Q27" s="54">
        <v>0</v>
      </c>
      <c r="R27" s="55">
        <f>IF(B27="", "", M27 - N27 - O27 - Q27 + P27)</f>
        <v>120.09</v>
      </c>
      <c r="S27" s="18" t="s">
        <v>279</v>
      </c>
    </row>
    <row r="28" ht="28" customHeight="1" spans="1:19" x14ac:dyDescent="0.25">
      <c r="A28" s="8" t="s">
        <v>333</v>
      </c>
      <c r="B28" s="9" t="s">
        <v>334</v>
      </c>
      <c r="C28" s="10" t="s">
        <v>334</v>
      </c>
      <c r="D28" s="10" t="s">
        <v>334</v>
      </c>
      <c r="E28" s="47" t="s">
        <v>335</v>
      </c>
      <c r="F28" s="47" t="s">
        <v>335</v>
      </c>
      <c r="G28" s="48" t="s">
        <v>336</v>
      </c>
      <c r="H28" s="48" t="s">
        <v>336</v>
      </c>
      <c r="I28" s="49">
        <f>IF(B28="", "", IF(OR(C28="", C28="—"), 0, IFNA(XLOOKUP(C28, DATA_UBER!A:A, DATA_UBER!Z:Z, 0), 0)))</f>
        <v>0</v>
      </c>
      <c r="J28" s="50">
        <f>IF(B28="", "", IF(OR(C28="", C28="—"), 0, IFNA(XLOOKUP(C28, DATA_UBER!A:A, DATA_UBER!J:J, 0), 0)))</f>
        <v>0</v>
      </c>
      <c r="K28" s="49">
        <f>IF(B28="", "", IF(OR(D28="", D28="—"), 0, IFNA(XLOOKUP(D28, DATA_BOLT!A:A, DATA_BOLT!Z:Z, 0), 0)))</f>
        <v>0</v>
      </c>
      <c r="L28" s="50">
        <f>IF(B28="", "", IF(OR(D28="", D28="—"), 0, IFNA(XLOOKUP(D28, DATA_BOLT!A:A, DATA_BOLT!G:G, 0), 0)))</f>
        <v>0</v>
      </c>
      <c r="M28" s="49">
        <f>IF(B28="", "", I28 + K28)</f>
        <v>0</v>
      </c>
      <c r="N28" s="49">
        <f>IF(B28="", "", IF(OR(I28&lt;&gt;0, K28&lt;&gt;0, J28&lt;&gt;0, L28&lt;&gt;0), IFNA(XLOOKUP(B28, ANNUAIRE_FLOTTE!B:B, ANNUAIRE_FLOTTE!J:J, 50), 50), 0))</f>
        <v>0</v>
      </c>
      <c r="O28" s="49">
        <v>0</v>
      </c>
      <c r="P28" s="49">
        <v>0</v>
      </c>
      <c r="Q28" s="49">
        <v>0</v>
      </c>
      <c r="R28" s="57">
        <f>IF(B28="", "", M28 - N28 - O28 - Q28 + P28)</f>
        <v>0</v>
      </c>
      <c r="S28" s="12" t="s">
        <v>279</v>
      </c>
    </row>
    <row r="29" ht="28" customHeight="1" spans="1:19" x14ac:dyDescent="0.25">
      <c r="A29" s="14" t="s">
        <v>337</v>
      </c>
      <c r="B29" s="15" t="s">
        <v>137</v>
      </c>
      <c r="C29" s="16" t="s">
        <v>338</v>
      </c>
      <c r="D29" s="16" t="s">
        <v>137</v>
      </c>
      <c r="E29" s="52" t="s">
        <v>138</v>
      </c>
      <c r="F29" s="52" t="s">
        <v>138</v>
      </c>
      <c r="G29" s="53" t="s">
        <v>139</v>
      </c>
      <c r="H29" s="53" t="s">
        <v>139</v>
      </c>
      <c r="I29" s="54">
        <f>IF(B29="", "", IF(OR(C29="", C29="—"), 0, IFNA(XLOOKUP(C29, DATA_UBER!A:A, DATA_UBER!Z:Z, 0), 0)))</f>
        <v>0</v>
      </c>
      <c r="J29" s="50">
        <f>IF(B29="", "", IF(OR(C29="", C29="—"), 0, IFNA(XLOOKUP(C29, DATA_UBER!A:A, DATA_UBER!J:J, 0), 0)))</f>
        <v>0</v>
      </c>
      <c r="K29" s="54">
        <f>IF(B29="", "", IF(OR(D29="", D29="—"), 0, IFNA(XLOOKUP(D29, DATA_BOLT!A:A, DATA_BOLT!Z:Z, 0), 0)))</f>
        <v>137.12</v>
      </c>
      <c r="L29" s="50">
        <f>IF(B29="", "", IF(OR(D29="", D29="—"), 0, IFNA(XLOOKUP(D29, DATA_BOLT!A:A, DATA_BOLT!G:G, 0), 0)))</f>
        <v>12</v>
      </c>
      <c r="M29" s="54">
        <f>IF(B29="", "", I29 + K29)</f>
        <v>137.12</v>
      </c>
      <c r="N29" s="54">
        <f>IF(B29="", "", IF(OR(I29&lt;&gt;0, K29&lt;&gt;0, J29&lt;&gt;0, L29&lt;&gt;0), IFNA(XLOOKUP(B29, ANNUAIRE_FLOTTE!B:B, ANNUAIRE_FLOTTE!J:J, 50), 50), 0))</f>
        <v>50</v>
      </c>
      <c r="O29" s="54">
        <v>0</v>
      </c>
      <c r="P29" s="54">
        <v>0</v>
      </c>
      <c r="Q29" s="54">
        <v>0</v>
      </c>
      <c r="R29" s="55">
        <f>IF(B29="", "", M29 - N29 - O29 - Q29 + P29)</f>
        <v>87.12</v>
      </c>
      <c r="S29" s="18" t="s">
        <v>279</v>
      </c>
    </row>
    <row r="30" ht="28" customHeight="1" spans="1:19" x14ac:dyDescent="0.25">
      <c r="A30" s="8" t="s">
        <v>339</v>
      </c>
      <c r="B30" s="9" t="s">
        <v>340</v>
      </c>
      <c r="C30" s="10" t="s">
        <v>97</v>
      </c>
      <c r="D30" s="10" t="s">
        <v>218</v>
      </c>
      <c r="E30" s="47" t="s">
        <v>219</v>
      </c>
      <c r="F30" s="47" t="s">
        <v>219</v>
      </c>
      <c r="G30" s="48" t="s">
        <v>220</v>
      </c>
      <c r="H30" s="48" t="s">
        <v>220</v>
      </c>
      <c r="I30" s="49">
        <f>IF(B30="", "", IF(OR(C30="", C30="—"), 0, IFNA(XLOOKUP(C30, DATA_UBER!A:A, DATA_UBER!Z:Z, 0), 0)))</f>
        <v>37.47</v>
      </c>
      <c r="J30" s="50">
        <f>IF(B30="", "", IF(OR(C30="", C30="—"), 0, IFNA(XLOOKUP(C30, DATA_UBER!A:A, DATA_UBER!J:J, 0), 0)))</f>
        <v>0</v>
      </c>
      <c r="K30" s="49">
        <f>IF(B30="", "", IF(OR(D30="", D30="—"), 0, IFNA(XLOOKUP(D30, DATA_BOLT!A:A, DATA_BOLT!Z:Z, 0), 0)))</f>
        <v>230.37</v>
      </c>
      <c r="L30" s="50">
        <f>IF(B30="", "", IF(OR(D30="", D30="—"), 0, IFNA(XLOOKUP(D30, DATA_BOLT!A:A, DATA_BOLT!G:G, 0), 0)))</f>
        <v>66.3</v>
      </c>
      <c r="M30" s="49">
        <f>IF(B30="", "", I30 + K30)</f>
        <v>267.84</v>
      </c>
      <c r="N30" s="49">
        <f>IF(B30="", "", IF(OR(I30&lt;&gt;0, K30&lt;&gt;0, J30&lt;&gt;0, L30&lt;&gt;0), IFNA(XLOOKUP(B30, ANNUAIRE_FLOTTE!B:B, ANNUAIRE_FLOTTE!J:J, 50), 50), 0))</f>
        <v>50</v>
      </c>
      <c r="O30" s="49">
        <v>0</v>
      </c>
      <c r="P30" s="49">
        <v>0</v>
      </c>
      <c r="Q30" s="49">
        <v>0</v>
      </c>
      <c r="R30" s="55">
        <f>IF(B30="", "", M30 - N30 - O30 - Q30 + P30)</f>
        <v>217.84</v>
      </c>
      <c r="S30" s="12" t="s">
        <v>279</v>
      </c>
    </row>
    <row r="31" ht="28" customHeight="1" spans="1:19" x14ac:dyDescent="0.25">
      <c r="A31" s="14" t="s">
        <v>341</v>
      </c>
      <c r="B31" s="15" t="s">
        <v>342</v>
      </c>
      <c r="C31" s="16" t="s">
        <v>342</v>
      </c>
      <c r="D31" s="16" t="s">
        <v>279</v>
      </c>
      <c r="E31" s="52" t="s">
        <v>343</v>
      </c>
      <c r="F31" s="52" t="s">
        <v>279</v>
      </c>
      <c r="G31" s="53" t="s">
        <v>344</v>
      </c>
      <c r="H31" s="53" t="s">
        <v>279</v>
      </c>
      <c r="I31" s="54">
        <f>IF(B31="", "", IF(OR(C31="", C31="—"), 0, IFNA(XLOOKUP(C31, DATA_UBER!A:A, DATA_UBER!Z:Z, 0), 0)))</f>
        <v>0</v>
      </c>
      <c r="J31" s="50">
        <f>IF(B31="", "", IF(OR(C31="", C31="—"), 0, IFNA(XLOOKUP(C31, DATA_UBER!A:A, DATA_UBER!J:J, 0), 0)))</f>
        <v>0</v>
      </c>
      <c r="K31" s="54">
        <f>IF(B31="", "", IF(OR(D31="", D31="—"), 0, IFNA(XLOOKUP(D31, DATA_BOLT!A:A, DATA_BOLT!Z:Z, 0), 0)))</f>
        <v>0</v>
      </c>
      <c r="L31" s="50">
        <f>IF(B31="", "", IF(OR(D31="", D31="—"), 0, IFNA(XLOOKUP(D31, DATA_BOLT!A:A, DATA_BOLT!G:G, 0), 0)))</f>
        <v>0</v>
      </c>
      <c r="M31" s="54">
        <f>IF(B31="", "", I31 + K31)</f>
        <v>0</v>
      </c>
      <c r="N31" s="54">
        <f>IF(B31="", "", IF(OR(I31&lt;&gt;0, K31&lt;&gt;0, J31&lt;&gt;0, L31&lt;&gt;0), IFNA(XLOOKUP(B31, ANNUAIRE_FLOTTE!B:B, ANNUAIRE_FLOTTE!J:J, 50), 50), 0))</f>
        <v>0</v>
      </c>
      <c r="O31" s="54">
        <v>0</v>
      </c>
      <c r="P31" s="54">
        <v>0</v>
      </c>
      <c r="Q31" s="54">
        <v>0</v>
      </c>
      <c r="R31" s="56">
        <f>IF(B31="", "", M31 - N31 - O31 - Q31 + P31)</f>
        <v>0</v>
      </c>
      <c r="S31" s="18" t="s">
        <v>279</v>
      </c>
    </row>
    <row r="32" ht="28" customHeight="1" spans="1:19" x14ac:dyDescent="0.25">
      <c r="A32" s="8" t="s">
        <v>345</v>
      </c>
      <c r="B32" s="9" t="s">
        <v>91</v>
      </c>
      <c r="C32" s="10" t="s">
        <v>91</v>
      </c>
      <c r="D32" s="10" t="s">
        <v>91</v>
      </c>
      <c r="E32" s="47" t="s">
        <v>141</v>
      </c>
      <c r="F32" s="47" t="s">
        <v>141</v>
      </c>
      <c r="G32" s="48" t="s">
        <v>142</v>
      </c>
      <c r="H32" s="48" t="s">
        <v>142</v>
      </c>
      <c r="I32" s="49">
        <f>IF(B32="", "", IF(OR(C32="", C32="—"), 0, IFNA(XLOOKUP(C32, DATA_UBER!A:A, DATA_UBER!Z:Z, 0), 0)))</f>
        <v>118.18</v>
      </c>
      <c r="J32" s="50">
        <f>IF(B32="", "", IF(OR(C32="", C32="—"), 0, IFNA(XLOOKUP(C32, DATA_UBER!A:A, DATA_UBER!J:J, 0), 0)))</f>
        <v>0</v>
      </c>
      <c r="K32" s="49">
        <f>IF(B32="", "", IF(OR(D32="", D32="—"), 0, IFNA(XLOOKUP(D32, DATA_BOLT!A:A, DATA_BOLT!Z:Z, 0), 0)))</f>
        <v>-2.56</v>
      </c>
      <c r="L32" s="50">
        <f>IF(B32="", "", IF(OR(D32="", D32="—"), 0, IFNA(XLOOKUP(D32, DATA_BOLT!A:A, DATA_BOLT!G:G, 0), 0)))</f>
        <v>16.7</v>
      </c>
      <c r="M32" s="49">
        <f>IF(B32="", "", I32 + K32)</f>
        <v>115.62</v>
      </c>
      <c r="N32" s="49">
        <f>IF(B32="", "", IF(OR(I32&lt;&gt;0, K32&lt;&gt;0, J32&lt;&gt;0, L32&lt;&gt;0), IFNA(XLOOKUP(B32, ANNUAIRE_FLOTTE!B:B, ANNUAIRE_FLOTTE!J:J, 50), 50), 0))</f>
        <v>50</v>
      </c>
      <c r="O32" s="49">
        <v>0</v>
      </c>
      <c r="P32" s="49">
        <v>0</v>
      </c>
      <c r="Q32" s="49">
        <v>0</v>
      </c>
      <c r="R32" s="55">
        <f>IF(B32="", "", M32 - N32 - O32 - Q32 + P32)</f>
        <v>65.62</v>
      </c>
      <c r="S32" s="12" t="s">
        <v>279</v>
      </c>
    </row>
    <row r="33" ht="28" customHeight="1" spans="1:19" x14ac:dyDescent="0.25">
      <c r="A33" s="14" t="s">
        <v>346</v>
      </c>
      <c r="B33" s="15" t="s">
        <v>144</v>
      </c>
      <c r="C33" s="16" t="s">
        <v>144</v>
      </c>
      <c r="D33" s="16" t="s">
        <v>144</v>
      </c>
      <c r="E33" s="52" t="s">
        <v>145</v>
      </c>
      <c r="F33" s="52" t="s">
        <v>145</v>
      </c>
      <c r="G33" s="53" t="s">
        <v>146</v>
      </c>
      <c r="H33" s="53" t="s">
        <v>146</v>
      </c>
      <c r="I33" s="54">
        <f>IF(B33="", "", IF(OR(C33="", C33="—"), 0, IFNA(XLOOKUP(C33, DATA_UBER!A:A, DATA_UBER!Z:Z, 0), 0)))</f>
        <v>0</v>
      </c>
      <c r="J33" s="50">
        <f>IF(B33="", "", IF(OR(C33="", C33="—"), 0, IFNA(XLOOKUP(C33, DATA_UBER!A:A, DATA_UBER!J:J, 0), 0)))</f>
        <v>0</v>
      </c>
      <c r="K33" s="54">
        <f>IF(B33="", "", IF(OR(D33="", D33="—"), 0, IFNA(XLOOKUP(D33, DATA_BOLT!A:A, DATA_BOLT!Z:Z, 0), 0)))</f>
        <v>408.54</v>
      </c>
      <c r="L33" s="50">
        <f>IF(B33="", "", IF(OR(D33="", D33="—"), 0, IFNA(XLOOKUP(D33, DATA_BOLT!A:A, DATA_BOLT!G:G, 0), 0)))</f>
        <v>246.3</v>
      </c>
      <c r="M33" s="54">
        <f>IF(B33="", "", I33 + K33)</f>
        <v>408.54</v>
      </c>
      <c r="N33" s="54">
        <f>IF(B33="", "", IF(OR(I33&lt;&gt;0, K33&lt;&gt;0, J33&lt;&gt;0, L33&lt;&gt;0), IFNA(XLOOKUP(B33, ANNUAIRE_FLOTTE!B:B, ANNUAIRE_FLOTTE!J:J, 50), 50), 0))</f>
        <v>50</v>
      </c>
      <c r="O33" s="54">
        <v>0</v>
      </c>
      <c r="P33" s="54">
        <v>0</v>
      </c>
      <c r="Q33" s="54">
        <v>0</v>
      </c>
      <c r="R33" s="55">
        <f>IF(B33="", "", M33 - N33 - O33 - Q33 + P33)</f>
        <v>358.54</v>
      </c>
      <c r="S33" s="18" t="s">
        <v>279</v>
      </c>
    </row>
    <row r="34" ht="28" customHeight="1" spans="1:19" x14ac:dyDescent="0.25">
      <c r="A34" s="8" t="s">
        <v>347</v>
      </c>
      <c r="B34" s="9" t="s">
        <v>348</v>
      </c>
      <c r="C34" s="10" t="s">
        <v>349</v>
      </c>
      <c r="D34" s="10" t="s">
        <v>279</v>
      </c>
      <c r="E34" s="47" t="s">
        <v>350</v>
      </c>
      <c r="F34" s="47" t="s">
        <v>279</v>
      </c>
      <c r="G34" s="48" t="s">
        <v>351</v>
      </c>
      <c r="H34" s="48" t="s">
        <v>279</v>
      </c>
      <c r="I34" s="49">
        <f>IF(B34="", "", IF(OR(C34="", C34="—"), 0, IFNA(XLOOKUP(C34, DATA_UBER!A:A, DATA_UBER!Z:Z, 0), 0)))</f>
        <v>0</v>
      </c>
      <c r="J34" s="50">
        <f>IF(B34="", "", IF(OR(C34="", C34="—"), 0, IFNA(XLOOKUP(C34, DATA_UBER!A:A, DATA_UBER!J:J, 0), 0)))</f>
        <v>0</v>
      </c>
      <c r="K34" s="49">
        <f>IF(B34="", "", IF(OR(D34="", D34="—"), 0, IFNA(XLOOKUP(D34, DATA_BOLT!A:A, DATA_BOLT!Z:Z, 0), 0)))</f>
        <v>0</v>
      </c>
      <c r="L34" s="50">
        <f>IF(B34="", "", IF(OR(D34="", D34="—"), 0, IFNA(XLOOKUP(D34, DATA_BOLT!A:A, DATA_BOLT!G:G, 0), 0)))</f>
        <v>0</v>
      </c>
      <c r="M34" s="49">
        <f>IF(B34="", "", I34 + K34)</f>
        <v>0</v>
      </c>
      <c r="N34" s="49">
        <f>IF(B34="", "", IF(OR(I34&lt;&gt;0, K34&lt;&gt;0, J34&lt;&gt;0, L34&lt;&gt;0), IFNA(XLOOKUP(B34, ANNUAIRE_FLOTTE!B:B, ANNUAIRE_FLOTTE!J:J, 50), 50), 0))</f>
        <v>0</v>
      </c>
      <c r="O34" s="49">
        <v>0</v>
      </c>
      <c r="P34" s="49">
        <v>0</v>
      </c>
      <c r="Q34" s="49">
        <v>0</v>
      </c>
      <c r="R34" s="57">
        <f>IF(B34="", "", M34 - N34 - O34 - Q34 + P34)</f>
        <v>0</v>
      </c>
      <c r="S34" s="12" t="s">
        <v>279</v>
      </c>
    </row>
    <row r="35" ht="28" customHeight="1" spans="1:19" x14ac:dyDescent="0.25">
      <c r="A35" s="14" t="s">
        <v>352</v>
      </c>
      <c r="B35" s="15" t="s">
        <v>152</v>
      </c>
      <c r="C35" s="16" t="s">
        <v>152</v>
      </c>
      <c r="D35" s="16" t="s">
        <v>152</v>
      </c>
      <c r="E35" s="52" t="s">
        <v>153</v>
      </c>
      <c r="F35" s="52" t="s">
        <v>153</v>
      </c>
      <c r="G35" s="53" t="s">
        <v>154</v>
      </c>
      <c r="H35" s="53" t="s">
        <v>154</v>
      </c>
      <c r="I35" s="54">
        <f>IF(B35="", "", IF(OR(C35="", C35="—"), 0, IFNA(XLOOKUP(C35, DATA_UBER!A:A, DATA_UBER!Z:Z, 0), 0)))</f>
        <v>0</v>
      </c>
      <c r="J35" s="50">
        <f>IF(B35="", "", IF(OR(C35="", C35="—"), 0, IFNA(XLOOKUP(C35, DATA_UBER!A:A, DATA_UBER!J:J, 0), 0)))</f>
        <v>0</v>
      </c>
      <c r="K35" s="54">
        <f>IF(B35="", "", IF(OR(D35="", D35="—"), 0, IFNA(XLOOKUP(D35, DATA_BOLT!A:A, DATA_BOLT!Z:Z, 0), 0)))</f>
        <v>11.44</v>
      </c>
      <c r="L35" s="50">
        <f>IF(B35="", "", IF(OR(D35="", D35="—"), 0, IFNA(XLOOKUP(D35, DATA_BOLT!A:A, DATA_BOLT!G:G, 0), 0)))</f>
        <v>0</v>
      </c>
      <c r="M35" s="54">
        <f>IF(B35="", "", I35 + K35)</f>
        <v>11.44</v>
      </c>
      <c r="N35" s="54">
        <f>IF(B35="", "", IF(OR(I35&lt;&gt;0, K35&lt;&gt;0, J35&lt;&gt;0, L35&lt;&gt;0), IFNA(XLOOKUP(B35, ANNUAIRE_FLOTTE!B:B, ANNUAIRE_FLOTTE!J:J, 50), 50), 0))</f>
        <v>50</v>
      </c>
      <c r="O35" s="54">
        <v>0</v>
      </c>
      <c r="P35" s="54">
        <v>0</v>
      </c>
      <c r="Q35" s="54">
        <v>0</v>
      </c>
      <c r="R35" s="51">
        <f>IF(B35="", "", M35 - N35 - O35 - Q35 + P35)</f>
        <v>-38.56</v>
      </c>
      <c r="S35" s="18" t="s">
        <v>279</v>
      </c>
    </row>
    <row r="36" ht="28" customHeight="1" spans="1:19" x14ac:dyDescent="0.25">
      <c r="A36" s="8" t="s">
        <v>353</v>
      </c>
      <c r="B36" s="9" t="s">
        <v>354</v>
      </c>
      <c r="C36" s="10" t="s">
        <v>354</v>
      </c>
      <c r="D36" s="10" t="s">
        <v>279</v>
      </c>
      <c r="E36" s="47" t="s">
        <v>355</v>
      </c>
      <c r="F36" s="47" t="s">
        <v>279</v>
      </c>
      <c r="G36" s="48" t="s">
        <v>356</v>
      </c>
      <c r="H36" s="48" t="s">
        <v>279</v>
      </c>
      <c r="I36" s="49">
        <f>IF(B36="", "", IF(OR(C36="", C36="—"), 0, IFNA(XLOOKUP(C36, DATA_UBER!A:A, DATA_UBER!Z:Z, 0), 0)))</f>
        <v>0</v>
      </c>
      <c r="J36" s="50">
        <f>IF(B36="", "", IF(OR(C36="", C36="—"), 0, IFNA(XLOOKUP(C36, DATA_UBER!A:A, DATA_UBER!J:J, 0), 0)))</f>
        <v>0</v>
      </c>
      <c r="K36" s="49">
        <f>IF(B36="", "", IF(OR(D36="", D36="—"), 0, IFNA(XLOOKUP(D36, DATA_BOLT!A:A, DATA_BOLT!Z:Z, 0), 0)))</f>
        <v>0</v>
      </c>
      <c r="L36" s="50">
        <f>IF(B36="", "", IF(OR(D36="", D36="—"), 0, IFNA(XLOOKUP(D36, DATA_BOLT!A:A, DATA_BOLT!G:G, 0), 0)))</f>
        <v>0</v>
      </c>
      <c r="M36" s="49">
        <f>IF(B36="", "", I36 + K36)</f>
        <v>0</v>
      </c>
      <c r="N36" s="49">
        <f>IF(B36="", "", IF(OR(I36&lt;&gt;0, K36&lt;&gt;0, J36&lt;&gt;0, L36&lt;&gt;0), IFNA(XLOOKUP(B36, ANNUAIRE_FLOTTE!B:B, ANNUAIRE_FLOTTE!J:J, 50), 50), 0))</f>
        <v>0</v>
      </c>
      <c r="O36" s="49">
        <v>0</v>
      </c>
      <c r="P36" s="49">
        <v>0</v>
      </c>
      <c r="Q36" s="49">
        <v>0</v>
      </c>
      <c r="R36" s="57">
        <f>IF(B36="", "", M36 - N36 - O36 - Q36 + P36)</f>
        <v>0</v>
      </c>
      <c r="S36" s="12" t="s">
        <v>279</v>
      </c>
    </row>
    <row r="37" ht="28" customHeight="1" spans="1:19" x14ac:dyDescent="0.25">
      <c r="A37" s="14" t="s">
        <v>357</v>
      </c>
      <c r="B37" s="15" t="s">
        <v>358</v>
      </c>
      <c r="C37" s="16" t="s">
        <v>358</v>
      </c>
      <c r="D37" s="16" t="s">
        <v>359</v>
      </c>
      <c r="E37" s="52" t="s">
        <v>360</v>
      </c>
      <c r="F37" s="52" t="s">
        <v>360</v>
      </c>
      <c r="G37" s="53" t="s">
        <v>361</v>
      </c>
      <c r="H37" s="53" t="s">
        <v>361</v>
      </c>
      <c r="I37" s="54">
        <f>IF(B37="", "", IF(OR(C37="", C37="—"), 0, IFNA(XLOOKUP(C37, DATA_UBER!A:A, DATA_UBER!Z:Z, 0), 0)))</f>
        <v>0</v>
      </c>
      <c r="J37" s="50">
        <f>IF(B37="", "", IF(OR(C37="", C37="—"), 0, IFNA(XLOOKUP(C37, DATA_UBER!A:A, DATA_UBER!J:J, 0), 0)))</f>
        <v>0</v>
      </c>
      <c r="K37" s="54">
        <f>IF(B37="", "", IF(OR(D37="", D37="—"), 0, IFNA(XLOOKUP(D37, DATA_BOLT!A:A, DATA_BOLT!Z:Z, 0), 0)))</f>
        <v>0</v>
      </c>
      <c r="L37" s="50">
        <f>IF(B37="", "", IF(OR(D37="", D37="—"), 0, IFNA(XLOOKUP(D37, DATA_BOLT!A:A, DATA_BOLT!G:G, 0), 0)))</f>
        <v>0</v>
      </c>
      <c r="M37" s="54">
        <f>IF(B37="", "", I37 + K37)</f>
        <v>0</v>
      </c>
      <c r="N37" s="54">
        <f>IF(B37="", "", IF(OR(I37&lt;&gt;0, K37&lt;&gt;0, J37&lt;&gt;0, L37&lt;&gt;0), IFNA(XLOOKUP(B37, ANNUAIRE_FLOTTE!B:B, ANNUAIRE_FLOTTE!J:J, 50), 50), 0))</f>
        <v>0</v>
      </c>
      <c r="O37" s="54">
        <v>0</v>
      </c>
      <c r="P37" s="54">
        <v>0</v>
      </c>
      <c r="Q37" s="54">
        <v>0</v>
      </c>
      <c r="R37" s="56">
        <f>IF(B37="", "", M37 - N37 - O37 - Q37 + P37)</f>
        <v>0</v>
      </c>
      <c r="S37" s="18" t="s">
        <v>279</v>
      </c>
    </row>
    <row r="38" ht="28" customHeight="1" spans="1:19" x14ac:dyDescent="0.25">
      <c r="A38" s="8" t="s">
        <v>362</v>
      </c>
      <c r="B38" s="9" t="s">
        <v>363</v>
      </c>
      <c r="C38" s="10" t="s">
        <v>363</v>
      </c>
      <c r="D38" s="10" t="s">
        <v>364</v>
      </c>
      <c r="E38" s="47" t="s">
        <v>365</v>
      </c>
      <c r="F38" s="47" t="s">
        <v>365</v>
      </c>
      <c r="G38" s="48" t="s">
        <v>366</v>
      </c>
      <c r="H38" s="48" t="s">
        <v>366</v>
      </c>
      <c r="I38" s="49">
        <f>IF(B38="", "", IF(OR(C38="", C38="—"), 0, IFNA(XLOOKUP(C38, DATA_UBER!A:A, DATA_UBER!Z:Z, 0), 0)))</f>
        <v>0</v>
      </c>
      <c r="J38" s="50">
        <f>IF(B38="", "", IF(OR(C38="", C38="—"), 0, IFNA(XLOOKUP(C38, DATA_UBER!A:A, DATA_UBER!J:J, 0), 0)))</f>
        <v>0</v>
      </c>
      <c r="K38" s="49">
        <f>IF(B38="", "", IF(OR(D38="", D38="—"), 0, IFNA(XLOOKUP(D38, DATA_BOLT!A:A, DATA_BOLT!Z:Z, 0), 0)))</f>
        <v>0</v>
      </c>
      <c r="L38" s="50">
        <f>IF(B38="", "", IF(OR(D38="", D38="—"), 0, IFNA(XLOOKUP(D38, DATA_BOLT!A:A, DATA_BOLT!G:G, 0), 0)))</f>
        <v>0</v>
      </c>
      <c r="M38" s="49">
        <f>IF(B38="", "", I38 + K38)</f>
        <v>0</v>
      </c>
      <c r="N38" s="49">
        <f>IF(B38="", "", IF(OR(I38&lt;&gt;0, K38&lt;&gt;0, J38&lt;&gt;0, L38&lt;&gt;0), IFNA(XLOOKUP(B38, ANNUAIRE_FLOTTE!B:B, ANNUAIRE_FLOTTE!J:J, 50), 50), 0))</f>
        <v>0</v>
      </c>
      <c r="O38" s="49">
        <v>0</v>
      </c>
      <c r="P38" s="49">
        <v>0</v>
      </c>
      <c r="Q38" s="49">
        <v>0</v>
      </c>
      <c r="R38" s="57">
        <f>IF(B38="", "", M38 - N38 - O38 - Q38 + P38)</f>
        <v>0</v>
      </c>
      <c r="S38" s="12" t="s">
        <v>279</v>
      </c>
    </row>
    <row r="39" ht="28" customHeight="1" spans="1:19" x14ac:dyDescent="0.25">
      <c r="A39" s="14" t="s">
        <v>367</v>
      </c>
      <c r="B39" s="15" t="s">
        <v>37</v>
      </c>
      <c r="C39" s="16" t="s">
        <v>37</v>
      </c>
      <c r="D39" s="16" t="s">
        <v>279</v>
      </c>
      <c r="E39" s="52" t="s">
        <v>368</v>
      </c>
      <c r="F39" s="52" t="s">
        <v>279</v>
      </c>
      <c r="G39" s="53" t="s">
        <v>369</v>
      </c>
      <c r="H39" s="53" t="s">
        <v>279</v>
      </c>
      <c r="I39" s="54">
        <f>IF(B39="", "", IF(OR(C39="", C39="—"), 0, IFNA(XLOOKUP(C39, DATA_UBER!A:A, DATA_UBER!Z:Z, 0), 0)))</f>
        <v>179.99</v>
      </c>
      <c r="J39" s="50">
        <f>IF(B39="", "", IF(OR(C39="", C39="—"), 0, IFNA(XLOOKUP(C39, DATA_UBER!A:A, DATA_UBER!J:J, 0), 0)))</f>
        <v>43.98</v>
      </c>
      <c r="K39" s="54">
        <f>IF(B39="", "", IF(OR(D39="", D39="—"), 0, IFNA(XLOOKUP(D39, DATA_BOLT!A:A, DATA_BOLT!Z:Z, 0), 0)))</f>
        <v>0</v>
      </c>
      <c r="L39" s="50">
        <f>IF(B39="", "", IF(OR(D39="", D39="—"), 0, IFNA(XLOOKUP(D39, DATA_BOLT!A:A, DATA_BOLT!G:G, 0), 0)))</f>
        <v>0</v>
      </c>
      <c r="M39" s="54">
        <f>IF(B39="", "", I39 + K39)</f>
        <v>179.99</v>
      </c>
      <c r="N39" s="54">
        <f>IF(B39="", "", IF(OR(I39&lt;&gt;0, K39&lt;&gt;0, J39&lt;&gt;0, L39&lt;&gt;0), IFNA(XLOOKUP(B39, ANNUAIRE_FLOTTE!B:B, ANNUAIRE_FLOTTE!J:J, 50), 50), 0))</f>
        <v>50</v>
      </c>
      <c r="O39" s="54">
        <v>0</v>
      </c>
      <c r="P39" s="54">
        <v>0</v>
      </c>
      <c r="Q39" s="54">
        <v>0</v>
      </c>
      <c r="R39" s="55">
        <f>IF(B39="", "", M39 - N39 - O39 - Q39 + P39)</f>
        <v>129.99</v>
      </c>
      <c r="S39" s="18" t="s">
        <v>279</v>
      </c>
    </row>
    <row r="40" ht="28" customHeight="1" spans="1:19" x14ac:dyDescent="0.25">
      <c r="A40" s="8" t="s">
        <v>370</v>
      </c>
      <c r="B40" s="9" t="s">
        <v>371</v>
      </c>
      <c r="C40" s="10" t="s">
        <v>371</v>
      </c>
      <c r="D40" s="10" t="s">
        <v>279</v>
      </c>
      <c r="E40" s="47" t="s">
        <v>372</v>
      </c>
      <c r="F40" s="47" t="s">
        <v>279</v>
      </c>
      <c r="G40" s="48" t="s">
        <v>373</v>
      </c>
      <c r="H40" s="48" t="s">
        <v>279</v>
      </c>
      <c r="I40" s="49">
        <f>IF(B40="", "", IF(OR(C40="", C40="—"), 0, IFNA(XLOOKUP(C40, DATA_UBER!A:A, DATA_UBER!Z:Z, 0), 0)))</f>
        <v>0</v>
      </c>
      <c r="J40" s="50">
        <f>IF(B40="", "", IF(OR(C40="", C40="—"), 0, IFNA(XLOOKUP(C40, DATA_UBER!A:A, DATA_UBER!J:J, 0), 0)))</f>
        <v>0</v>
      </c>
      <c r="K40" s="49">
        <f>IF(B40="", "", IF(OR(D40="", D40="—"), 0, IFNA(XLOOKUP(D40, DATA_BOLT!A:A, DATA_BOLT!Z:Z, 0), 0)))</f>
        <v>0</v>
      </c>
      <c r="L40" s="50">
        <f>IF(B40="", "", IF(OR(D40="", D40="—"), 0, IFNA(XLOOKUP(D40, DATA_BOLT!A:A, DATA_BOLT!G:G, 0), 0)))</f>
        <v>0</v>
      </c>
      <c r="M40" s="49">
        <f>IF(B40="", "", I40 + K40)</f>
        <v>0</v>
      </c>
      <c r="N40" s="49">
        <f>IF(B40="", "", IF(OR(I40&lt;&gt;0, K40&lt;&gt;0, J40&lt;&gt;0, L40&lt;&gt;0), IFNA(XLOOKUP(B40, ANNUAIRE_FLOTTE!B:B, ANNUAIRE_FLOTTE!J:J, 50), 50), 0))</f>
        <v>0</v>
      </c>
      <c r="O40" s="49">
        <v>0</v>
      </c>
      <c r="P40" s="49">
        <v>0</v>
      </c>
      <c r="Q40" s="49">
        <v>0</v>
      </c>
      <c r="R40" s="57">
        <f>IF(B40="", "", M40 - N40 - O40 - Q40 + P40)</f>
        <v>0</v>
      </c>
      <c r="S40" s="12" t="s">
        <v>279</v>
      </c>
    </row>
    <row r="41" ht="28" customHeight="1" spans="1:19" x14ac:dyDescent="0.25">
      <c r="A41" s="14" t="s">
        <v>374</v>
      </c>
      <c r="B41" s="15" t="s">
        <v>164</v>
      </c>
      <c r="C41" s="16" t="s">
        <v>375</v>
      </c>
      <c r="D41" s="16" t="s">
        <v>164</v>
      </c>
      <c r="E41" s="52" t="s">
        <v>376</v>
      </c>
      <c r="F41" s="52" t="s">
        <v>165</v>
      </c>
      <c r="G41" s="53" t="s">
        <v>166</v>
      </c>
      <c r="H41" s="53" t="s">
        <v>166</v>
      </c>
      <c r="I41" s="54">
        <f>IF(B41="", "", IF(OR(C41="", C41="—"), 0, IFNA(XLOOKUP(C41, DATA_UBER!A:A, DATA_UBER!Z:Z, 0), 0)))</f>
        <v>0</v>
      </c>
      <c r="J41" s="50">
        <f>IF(B41="", "", IF(OR(C41="", C41="—"), 0, IFNA(XLOOKUP(C41, DATA_UBER!A:A, DATA_UBER!J:J, 0), 0)))</f>
        <v>0</v>
      </c>
      <c r="K41" s="54">
        <f>IF(B41="", "", IF(OR(D41="", D41="—"), 0, IFNA(XLOOKUP(D41, DATA_BOLT!A:A, DATA_BOLT!Z:Z, 0), 0)))</f>
        <v>254.45</v>
      </c>
      <c r="L41" s="50">
        <f>IF(B41="", "", IF(OR(D41="", D41="—"), 0, IFNA(XLOOKUP(D41, DATA_BOLT!A:A, DATA_BOLT!G:G, 0), 0)))</f>
        <v>81.6</v>
      </c>
      <c r="M41" s="54">
        <f>IF(B41="", "", I41 + K41)</f>
        <v>254.45</v>
      </c>
      <c r="N41" s="54">
        <f>IF(B41="", "", IF(OR(I41&lt;&gt;0, K41&lt;&gt;0, J41&lt;&gt;0, L41&lt;&gt;0), IFNA(XLOOKUP(B41, ANNUAIRE_FLOTTE!B:B, ANNUAIRE_FLOTTE!J:J, 50), 50), 0))</f>
        <v>50</v>
      </c>
      <c r="O41" s="54">
        <v>0</v>
      </c>
      <c r="P41" s="54">
        <v>0</v>
      </c>
      <c r="Q41" s="54">
        <v>0</v>
      </c>
      <c r="R41" s="55">
        <f>IF(B41="", "", M41 - N41 - O41 - Q41 + P41)</f>
        <v>204.45</v>
      </c>
      <c r="S41" s="18" t="s">
        <v>279</v>
      </c>
    </row>
    <row r="42" ht="28" customHeight="1" spans="1:19" x14ac:dyDescent="0.25">
      <c r="A42" s="8" t="s">
        <v>377</v>
      </c>
      <c r="B42" s="9" t="s">
        <v>378</v>
      </c>
      <c r="C42" s="10" t="s">
        <v>379</v>
      </c>
      <c r="D42" s="10" t="s">
        <v>279</v>
      </c>
      <c r="E42" s="47" t="s">
        <v>380</v>
      </c>
      <c r="F42" s="47" t="s">
        <v>279</v>
      </c>
      <c r="G42" s="48" t="s">
        <v>381</v>
      </c>
      <c r="H42" s="48" t="s">
        <v>279</v>
      </c>
      <c r="I42" s="49">
        <f>IF(B42="", "", IF(OR(C42="", C42="—"), 0, IFNA(XLOOKUP(C42, DATA_UBER!A:A, DATA_UBER!Z:Z, 0), 0)))</f>
        <v>0</v>
      </c>
      <c r="J42" s="50">
        <f>IF(B42="", "", IF(OR(C42="", C42="—"), 0, IFNA(XLOOKUP(C42, DATA_UBER!A:A, DATA_UBER!J:J, 0), 0)))</f>
        <v>0</v>
      </c>
      <c r="K42" s="49">
        <f>IF(B42="", "", IF(OR(D42="", D42="—"), 0, IFNA(XLOOKUP(D42, DATA_BOLT!A:A, DATA_BOLT!Z:Z, 0), 0)))</f>
        <v>0</v>
      </c>
      <c r="L42" s="50">
        <f>IF(B42="", "", IF(OR(D42="", D42="—"), 0, IFNA(XLOOKUP(D42, DATA_BOLT!A:A, DATA_BOLT!G:G, 0), 0)))</f>
        <v>0</v>
      </c>
      <c r="M42" s="49">
        <f>IF(B42="", "", I42 + K42)</f>
        <v>0</v>
      </c>
      <c r="N42" s="49">
        <f>IF(B42="", "", IF(OR(I42&lt;&gt;0, K42&lt;&gt;0, J42&lt;&gt;0, L42&lt;&gt;0), IFNA(XLOOKUP(B42, ANNUAIRE_FLOTTE!B:B, ANNUAIRE_FLOTTE!J:J, 50), 50), 0))</f>
        <v>0</v>
      </c>
      <c r="O42" s="49">
        <v>0</v>
      </c>
      <c r="P42" s="49">
        <v>0</v>
      </c>
      <c r="Q42" s="49">
        <v>0</v>
      </c>
      <c r="R42" s="57">
        <f>IF(B42="", "", M42 - N42 - O42 - Q42 + P42)</f>
        <v>0</v>
      </c>
      <c r="S42" s="12" t="s">
        <v>279</v>
      </c>
    </row>
    <row r="43" ht="28" customHeight="1" spans="1:19" x14ac:dyDescent="0.25">
      <c r="A43" s="14" t="s">
        <v>382</v>
      </c>
      <c r="B43" s="15" t="s">
        <v>383</v>
      </c>
      <c r="C43" s="16" t="s">
        <v>49</v>
      </c>
      <c r="D43" s="16" t="s">
        <v>279</v>
      </c>
      <c r="E43" s="52" t="s">
        <v>384</v>
      </c>
      <c r="F43" s="52" t="s">
        <v>279</v>
      </c>
      <c r="G43" s="53" t="s">
        <v>385</v>
      </c>
      <c r="H43" s="53" t="s">
        <v>279</v>
      </c>
      <c r="I43" s="54">
        <f>IF(B43="", "", IF(OR(C43="", C43="—"), 0, IFNA(XLOOKUP(C43, DATA_UBER!A:A, DATA_UBER!Z:Z, 0), 0)))</f>
        <v>157.37</v>
      </c>
      <c r="J43" s="50">
        <f>IF(B43="", "", IF(OR(C43="", C43="—"), 0, IFNA(XLOOKUP(C43, DATA_UBER!A:A, DATA_UBER!J:J, 0), 0)))</f>
        <v>29.9</v>
      </c>
      <c r="K43" s="54">
        <f>IF(B43="", "", IF(OR(D43="", D43="—"), 0, IFNA(XLOOKUP(D43, DATA_BOLT!A:A, DATA_BOLT!Z:Z, 0), 0)))</f>
        <v>0</v>
      </c>
      <c r="L43" s="50">
        <f>IF(B43="", "", IF(OR(D43="", D43="—"), 0, IFNA(XLOOKUP(D43, DATA_BOLT!A:A, DATA_BOLT!G:G, 0), 0)))</f>
        <v>0</v>
      </c>
      <c r="M43" s="54">
        <f>IF(B43="", "", I43 + K43)</f>
        <v>157.37</v>
      </c>
      <c r="N43" s="54">
        <f>IF(B43="", "", IF(OR(I43&lt;&gt;0, K43&lt;&gt;0, J43&lt;&gt;0, L43&lt;&gt;0), IFNA(XLOOKUP(B43, ANNUAIRE_FLOTTE!B:B, ANNUAIRE_FLOTTE!J:J, 50), 50), 0))</f>
        <v>50</v>
      </c>
      <c r="O43" s="54">
        <v>0</v>
      </c>
      <c r="P43" s="54">
        <v>0</v>
      </c>
      <c r="Q43" s="54">
        <v>0</v>
      </c>
      <c r="R43" s="55">
        <f>IF(B43="", "", M43 - N43 - O43 - Q43 + P43)</f>
        <v>107.37</v>
      </c>
      <c r="S43" s="18" t="s">
        <v>279</v>
      </c>
    </row>
    <row r="44" ht="28" customHeight="1" spans="1:19" x14ac:dyDescent="0.25">
      <c r="A44" s="8" t="s">
        <v>386</v>
      </c>
      <c r="B44" s="9" t="s">
        <v>168</v>
      </c>
      <c r="C44" s="10" t="s">
        <v>387</v>
      </c>
      <c r="D44" s="10" t="s">
        <v>168</v>
      </c>
      <c r="E44" s="47" t="s">
        <v>169</v>
      </c>
      <c r="F44" s="47" t="s">
        <v>169</v>
      </c>
      <c r="G44" s="48" t="s">
        <v>170</v>
      </c>
      <c r="H44" s="48" t="s">
        <v>170</v>
      </c>
      <c r="I44" s="49">
        <f>IF(B44="", "", IF(OR(C44="", C44="—"), 0, IFNA(XLOOKUP(C44, DATA_UBER!A:A, DATA_UBER!Z:Z, 0), 0)))</f>
        <v>0</v>
      </c>
      <c r="J44" s="50">
        <f>IF(B44="", "", IF(OR(C44="", C44="—"), 0, IFNA(XLOOKUP(C44, DATA_UBER!A:A, DATA_UBER!J:J, 0), 0)))</f>
        <v>0</v>
      </c>
      <c r="K44" s="49">
        <f>IF(B44="", "", IF(OR(D44="", D44="—"), 0, IFNA(XLOOKUP(D44, DATA_BOLT!A:A, DATA_BOLT!Z:Z, 0), 0)))</f>
        <v>169.13</v>
      </c>
      <c r="L44" s="50">
        <f>IF(B44="", "", IF(OR(D44="", D44="—"), 0, IFNA(XLOOKUP(D44, DATA_BOLT!A:A, DATA_BOLT!G:G, 0), 0)))</f>
        <v>0</v>
      </c>
      <c r="M44" s="49">
        <f>IF(B44="", "", I44 + K44)</f>
        <v>169.13</v>
      </c>
      <c r="N44" s="49">
        <f>IF(B44="", "", IF(OR(I44&lt;&gt;0, K44&lt;&gt;0, J44&lt;&gt;0, L44&lt;&gt;0), IFNA(XLOOKUP(B44, ANNUAIRE_FLOTTE!B:B, ANNUAIRE_FLOTTE!J:J, 50), 50), 0))</f>
        <v>50</v>
      </c>
      <c r="O44" s="49">
        <v>0</v>
      </c>
      <c r="P44" s="49">
        <v>0</v>
      </c>
      <c r="Q44" s="49">
        <v>0</v>
      </c>
      <c r="R44" s="55">
        <f>IF(B44="", "", M44 - N44 - O44 - Q44 + P44)</f>
        <v>119.13</v>
      </c>
      <c r="S44" s="12" t="s">
        <v>279</v>
      </c>
    </row>
    <row r="45" ht="28" customHeight="1" spans="1:19" x14ac:dyDescent="0.25">
      <c r="A45" s="14" t="s">
        <v>388</v>
      </c>
      <c r="B45" s="15" t="s">
        <v>389</v>
      </c>
      <c r="C45" s="16" t="s">
        <v>389</v>
      </c>
      <c r="D45" s="16" t="s">
        <v>172</v>
      </c>
      <c r="E45" s="52" t="s">
        <v>390</v>
      </c>
      <c r="F45" s="52" t="s">
        <v>173</v>
      </c>
      <c r="G45" s="53" t="s">
        <v>391</v>
      </c>
      <c r="H45" s="53" t="s">
        <v>392</v>
      </c>
      <c r="I45" s="54">
        <f>IF(B45="", "", IF(OR(C45="", C45="—"), 0, IFNA(XLOOKUP(C45, DATA_UBER!A:A, DATA_UBER!Z:Z, 0), 0)))</f>
        <v>0</v>
      </c>
      <c r="J45" s="50">
        <f>IF(B45="", "", IF(OR(C45="", C45="—"), 0, IFNA(XLOOKUP(C45, DATA_UBER!A:A, DATA_UBER!J:J, 0), 0)))</f>
        <v>0</v>
      </c>
      <c r="K45" s="54">
        <f>IF(B45="", "", IF(OR(D45="", D45="—"), 0, IFNA(XLOOKUP(D45, DATA_BOLT!A:A, DATA_BOLT!Z:Z, 0), 0)))</f>
        <v>294.59</v>
      </c>
      <c r="L45" s="50">
        <f>IF(B45="", "", IF(OR(D45="", D45="—"), 0, IFNA(XLOOKUP(D45, DATA_BOLT!A:A, DATA_BOLT!G:G, 0), 0)))</f>
        <v>84.5</v>
      </c>
      <c r="M45" s="54">
        <f>IF(B45="", "", I45 + K45)</f>
        <v>294.59</v>
      </c>
      <c r="N45" s="54">
        <f>IF(B45="", "", IF(OR(I45&lt;&gt;0, K45&lt;&gt;0, J45&lt;&gt;0, L45&lt;&gt;0), IFNA(XLOOKUP(B45, ANNUAIRE_FLOTTE!B:B, ANNUAIRE_FLOTTE!J:J, 50), 50), 0))</f>
        <v>50</v>
      </c>
      <c r="O45" s="54">
        <v>0</v>
      </c>
      <c r="P45" s="54">
        <v>0</v>
      </c>
      <c r="Q45" s="54">
        <v>0</v>
      </c>
      <c r="R45" s="55">
        <f>IF(B45="", "", M45 - N45 - O45 - Q45 + P45)</f>
        <v>244.59</v>
      </c>
      <c r="S45" s="18" t="s">
        <v>279</v>
      </c>
    </row>
    <row r="46" ht="28" customHeight="1" spans="1:19" x14ac:dyDescent="0.25">
      <c r="A46" s="8" t="s">
        <v>393</v>
      </c>
      <c r="B46" s="9" t="s">
        <v>176</v>
      </c>
      <c r="C46" s="10" t="s">
        <v>176</v>
      </c>
      <c r="D46" s="10" t="s">
        <v>176</v>
      </c>
      <c r="E46" s="47" t="s">
        <v>394</v>
      </c>
      <c r="F46" s="47" t="s">
        <v>177</v>
      </c>
      <c r="G46" s="48" t="s">
        <v>178</v>
      </c>
      <c r="H46" s="48" t="s">
        <v>178</v>
      </c>
      <c r="I46" s="49">
        <f>IF(B46="", "", IF(OR(C46="", C46="—"), 0, IFNA(XLOOKUP(C46, DATA_UBER!A:A, DATA_UBER!Z:Z, 0), 0)))</f>
        <v>0</v>
      </c>
      <c r="J46" s="50">
        <f>IF(B46="", "", IF(OR(C46="", C46="—"), 0, IFNA(XLOOKUP(C46, DATA_UBER!A:A, DATA_UBER!J:J, 0), 0)))</f>
        <v>0</v>
      </c>
      <c r="K46" s="49">
        <f>IF(B46="", "", IF(OR(D46="", D46="—"), 0, IFNA(XLOOKUP(D46, DATA_BOLT!A:A, DATA_BOLT!Z:Z, 0), 0)))</f>
        <v>77.85</v>
      </c>
      <c r="L46" s="50">
        <f>IF(B46="", "", IF(OR(D46="", D46="—"), 0, IFNA(XLOOKUP(D46, DATA_BOLT!A:A, DATA_BOLT!G:G, 0), 0)))</f>
        <v>116.3</v>
      </c>
      <c r="M46" s="49">
        <f>IF(B46="", "", I46 + K46)</f>
        <v>77.85</v>
      </c>
      <c r="N46" s="49">
        <f>IF(B46="", "", IF(OR(I46&lt;&gt;0, K46&lt;&gt;0, J46&lt;&gt;0, L46&lt;&gt;0), IFNA(XLOOKUP(B46, ANNUAIRE_FLOTTE!B:B, ANNUAIRE_FLOTTE!J:J, 50), 50), 0))</f>
        <v>50</v>
      </c>
      <c r="O46" s="49">
        <v>0</v>
      </c>
      <c r="P46" s="49">
        <v>0</v>
      </c>
      <c r="Q46" s="49">
        <v>0</v>
      </c>
      <c r="R46" s="55">
        <f>IF(B46="", "", M46 - N46 - O46 - Q46 + P46)</f>
        <v>27.85</v>
      </c>
      <c r="S46" s="12" t="s">
        <v>279</v>
      </c>
    </row>
    <row r="47" ht="28" customHeight="1" spans="1:19" x14ac:dyDescent="0.25">
      <c r="A47" s="14" t="s">
        <v>395</v>
      </c>
      <c r="B47" s="15" t="s">
        <v>396</v>
      </c>
      <c r="C47" s="16" t="s">
        <v>397</v>
      </c>
      <c r="D47" s="16" t="s">
        <v>279</v>
      </c>
      <c r="E47" s="52" t="s">
        <v>398</v>
      </c>
      <c r="F47" s="52" t="s">
        <v>279</v>
      </c>
      <c r="G47" s="53" t="s">
        <v>399</v>
      </c>
      <c r="H47" s="53" t="s">
        <v>279</v>
      </c>
      <c r="I47" s="54">
        <f>IF(B47="", "", IF(OR(C47="", C47="—"), 0, IFNA(XLOOKUP(C47, DATA_UBER!A:A, DATA_UBER!Z:Z, 0), 0)))</f>
        <v>0</v>
      </c>
      <c r="J47" s="50">
        <f>IF(B47="", "", IF(OR(C47="", C47="—"), 0, IFNA(XLOOKUP(C47, DATA_UBER!A:A, DATA_UBER!J:J, 0), 0)))</f>
        <v>0</v>
      </c>
      <c r="K47" s="54">
        <f>IF(B47="", "", IF(OR(D47="", D47="—"), 0, IFNA(XLOOKUP(D47, DATA_BOLT!A:A, DATA_BOLT!Z:Z, 0), 0)))</f>
        <v>0</v>
      </c>
      <c r="L47" s="50">
        <f>IF(B47="", "", IF(OR(D47="", D47="—"), 0, IFNA(XLOOKUP(D47, DATA_BOLT!A:A, DATA_BOLT!G:G, 0), 0)))</f>
        <v>0</v>
      </c>
      <c r="M47" s="54">
        <f>IF(B47="", "", I47 + K47)</f>
        <v>0</v>
      </c>
      <c r="N47" s="54">
        <f>IF(B47="", "", IF(OR(I47&lt;&gt;0, K47&lt;&gt;0, J47&lt;&gt;0, L47&lt;&gt;0), IFNA(XLOOKUP(B47, ANNUAIRE_FLOTTE!B:B, ANNUAIRE_FLOTTE!J:J, 50), 50), 0))</f>
        <v>0</v>
      </c>
      <c r="O47" s="54">
        <v>0</v>
      </c>
      <c r="P47" s="54">
        <v>0</v>
      </c>
      <c r="Q47" s="54">
        <v>0</v>
      </c>
      <c r="R47" s="56">
        <f>IF(B47="", "", M47 - N47 - O47 - Q47 + P47)</f>
        <v>0</v>
      </c>
      <c r="S47" s="18" t="s">
        <v>279</v>
      </c>
    </row>
    <row r="48" ht="28" customHeight="1" spans="1:19" x14ac:dyDescent="0.25">
      <c r="A48" s="8" t="s">
        <v>400</v>
      </c>
      <c r="B48" s="9" t="s">
        <v>183</v>
      </c>
      <c r="C48" s="10" t="s">
        <v>401</v>
      </c>
      <c r="D48" s="10" t="s">
        <v>183</v>
      </c>
      <c r="E48" s="47" t="s">
        <v>402</v>
      </c>
      <c r="F48" s="47" t="s">
        <v>184</v>
      </c>
      <c r="G48" s="48" t="s">
        <v>403</v>
      </c>
      <c r="H48" s="48" t="s">
        <v>185</v>
      </c>
      <c r="I48" s="49">
        <f>IF(B48="", "", IF(OR(C48="", C48="—"), 0, IFNA(XLOOKUP(C48, DATA_UBER!A:A, DATA_UBER!Z:Z, 0), 0)))</f>
        <v>0</v>
      </c>
      <c r="J48" s="50">
        <f>IF(B48="", "", IF(OR(C48="", C48="—"), 0, IFNA(XLOOKUP(C48, DATA_UBER!A:A, DATA_UBER!J:J, 0), 0)))</f>
        <v>0</v>
      </c>
      <c r="K48" s="49">
        <f>IF(B48="", "", IF(OR(D48="", D48="—"), 0, IFNA(XLOOKUP(D48, DATA_BOLT!A:A, DATA_BOLT!Z:Z, 0), 0)))</f>
        <v>263.32</v>
      </c>
      <c r="L48" s="50">
        <f>IF(B48="", "", IF(OR(D48="", D48="—"), 0, IFNA(XLOOKUP(D48, DATA_BOLT!A:A, DATA_BOLT!G:G, 0), 0)))</f>
        <v>216.7</v>
      </c>
      <c r="M48" s="49">
        <f>IF(B48="", "", I48 + K48)</f>
        <v>263.32</v>
      </c>
      <c r="N48" s="49">
        <f>IF(B48="", "", IF(OR(I48&lt;&gt;0, K48&lt;&gt;0, J48&lt;&gt;0, L48&lt;&gt;0), IFNA(XLOOKUP(B48, ANNUAIRE_FLOTTE!B:B, ANNUAIRE_FLOTTE!J:J, 50), 50), 0))</f>
        <v>50</v>
      </c>
      <c r="O48" s="49">
        <v>0</v>
      </c>
      <c r="P48" s="49">
        <v>0</v>
      </c>
      <c r="Q48" s="49">
        <v>0</v>
      </c>
      <c r="R48" s="55">
        <f>IF(B48="", "", M48 - N48 - O48 - Q48 + P48)</f>
        <v>213.32</v>
      </c>
      <c r="S48" s="12" t="s">
        <v>279</v>
      </c>
    </row>
    <row r="49" ht="28" customHeight="1" spans="1:19" x14ac:dyDescent="0.25">
      <c r="A49" s="14" t="s">
        <v>404</v>
      </c>
      <c r="B49" s="15" t="s">
        <v>405</v>
      </c>
      <c r="C49" s="16" t="s">
        <v>405</v>
      </c>
      <c r="D49" s="16" t="s">
        <v>279</v>
      </c>
      <c r="E49" s="52" t="s">
        <v>406</v>
      </c>
      <c r="F49" s="52" t="s">
        <v>279</v>
      </c>
      <c r="G49" s="53" t="s">
        <v>407</v>
      </c>
      <c r="H49" s="53" t="s">
        <v>279</v>
      </c>
      <c r="I49" s="54">
        <f>IF(B49="", "", IF(OR(C49="", C49="—"), 0, IFNA(XLOOKUP(C49, DATA_UBER!A:A, DATA_UBER!Z:Z, 0), 0)))</f>
        <v>0</v>
      </c>
      <c r="J49" s="50">
        <f>IF(B49="", "", IF(OR(C49="", C49="—"), 0, IFNA(XLOOKUP(C49, DATA_UBER!A:A, DATA_UBER!J:J, 0), 0)))</f>
        <v>0</v>
      </c>
      <c r="K49" s="54">
        <f>IF(B49="", "", IF(OR(D49="", D49="—"), 0, IFNA(XLOOKUP(D49, DATA_BOLT!A:A, DATA_BOLT!Z:Z, 0), 0)))</f>
        <v>0</v>
      </c>
      <c r="L49" s="50">
        <f>IF(B49="", "", IF(OR(D49="", D49="—"), 0, IFNA(XLOOKUP(D49, DATA_BOLT!A:A, DATA_BOLT!G:G, 0), 0)))</f>
        <v>0</v>
      </c>
      <c r="M49" s="54">
        <f>IF(B49="", "", I49 + K49)</f>
        <v>0</v>
      </c>
      <c r="N49" s="54">
        <f>IF(B49="", "", IF(OR(I49&lt;&gt;0, K49&lt;&gt;0, J49&lt;&gt;0, L49&lt;&gt;0), IFNA(XLOOKUP(B49, ANNUAIRE_FLOTTE!B:B, ANNUAIRE_FLOTTE!J:J, 50), 50), 0))</f>
        <v>0</v>
      </c>
      <c r="O49" s="54">
        <v>0</v>
      </c>
      <c r="P49" s="54">
        <v>0</v>
      </c>
      <c r="Q49" s="54">
        <v>0</v>
      </c>
      <c r="R49" s="56">
        <f>IF(B49="", "", M49 - N49 - O49 - Q49 + P49)</f>
        <v>0</v>
      </c>
      <c r="S49" s="18" t="s">
        <v>279</v>
      </c>
    </row>
    <row r="50" ht="28" customHeight="1" spans="1:19" x14ac:dyDescent="0.25">
      <c r="A50" s="8" t="s">
        <v>408</v>
      </c>
      <c r="B50" s="9" t="s">
        <v>187</v>
      </c>
      <c r="C50" s="10" t="s">
        <v>55</v>
      </c>
      <c r="D50" s="10" t="s">
        <v>187</v>
      </c>
      <c r="E50" s="47" t="s">
        <v>409</v>
      </c>
      <c r="F50" s="47" t="s">
        <v>188</v>
      </c>
      <c r="G50" s="48" t="s">
        <v>189</v>
      </c>
      <c r="H50" s="48" t="s">
        <v>189</v>
      </c>
      <c r="I50" s="49">
        <f>IF(B50="", "", IF(OR(C50="", C50="—"), 0, IFNA(XLOOKUP(C50, DATA_UBER!A:A, DATA_UBER!Z:Z, 0), 0)))</f>
        <v>54.16</v>
      </c>
      <c r="J50" s="50">
        <f>IF(B50="", "", IF(OR(C50="", C50="—"), 0, IFNA(XLOOKUP(C50, DATA_UBER!A:A, DATA_UBER!J:J, 0), 0)))</f>
        <v>12.8</v>
      </c>
      <c r="K50" s="49">
        <f>IF(B50="", "", IF(OR(D50="", D50="—"), 0, IFNA(XLOOKUP(D50, DATA_BOLT!A:A, DATA_BOLT!Z:Z, 0), 0)))</f>
        <v>145.16</v>
      </c>
      <c r="L50" s="50">
        <f>IF(B50="", "", IF(OR(D50="", D50="—"), 0, IFNA(XLOOKUP(D50, DATA_BOLT!A:A, DATA_BOLT!G:G, 0), 0)))</f>
        <v>114.8</v>
      </c>
      <c r="M50" s="49">
        <f>IF(B50="", "", I50 + K50)</f>
        <v>199.32</v>
      </c>
      <c r="N50" s="49">
        <f>IF(B50="", "", IF(OR(I50&lt;&gt;0, K50&lt;&gt;0, J50&lt;&gt;0, L50&lt;&gt;0), IFNA(XLOOKUP(B50, ANNUAIRE_FLOTTE!B:B, ANNUAIRE_FLOTTE!J:J, 50), 50), 0))</f>
        <v>50</v>
      </c>
      <c r="O50" s="49">
        <v>0</v>
      </c>
      <c r="P50" s="49">
        <v>0</v>
      </c>
      <c r="Q50" s="49">
        <v>0</v>
      </c>
      <c r="R50" s="55">
        <f>IF(B50="", "", M50 - N50 - O50 - Q50 + P50)</f>
        <v>149.32</v>
      </c>
      <c r="S50" s="12" t="s">
        <v>279</v>
      </c>
    </row>
    <row r="51" ht="28" customHeight="1" spans="1:19" x14ac:dyDescent="0.25">
      <c r="A51" s="14" t="s">
        <v>410</v>
      </c>
      <c r="B51" s="15" t="s">
        <v>411</v>
      </c>
      <c r="C51" s="16" t="s">
        <v>411</v>
      </c>
      <c r="D51" s="16" t="s">
        <v>411</v>
      </c>
      <c r="E51" s="52" t="s">
        <v>412</v>
      </c>
      <c r="F51" s="52" t="s">
        <v>412</v>
      </c>
      <c r="G51" s="53" t="s">
        <v>413</v>
      </c>
      <c r="H51" s="53" t="s">
        <v>413</v>
      </c>
      <c r="I51" s="54">
        <f>IF(B51="", "", IF(OR(C51="", C51="—"), 0, IFNA(XLOOKUP(C51, DATA_UBER!A:A, DATA_UBER!Z:Z, 0), 0)))</f>
        <v>0</v>
      </c>
      <c r="J51" s="50">
        <f>IF(B51="", "", IF(OR(C51="", C51="—"), 0, IFNA(XLOOKUP(C51, DATA_UBER!A:A, DATA_UBER!J:J, 0), 0)))</f>
        <v>0</v>
      </c>
      <c r="K51" s="54">
        <f>IF(B51="", "", IF(OR(D51="", D51="—"), 0, IFNA(XLOOKUP(D51, DATA_BOLT!A:A, DATA_BOLT!Z:Z, 0), 0)))</f>
        <v>0</v>
      </c>
      <c r="L51" s="50">
        <f>IF(B51="", "", IF(OR(D51="", D51="—"), 0, IFNA(XLOOKUP(D51, DATA_BOLT!A:A, DATA_BOLT!G:G, 0), 0)))</f>
        <v>0</v>
      </c>
      <c r="M51" s="54">
        <f>IF(B51="", "", I51 + K51)</f>
        <v>0</v>
      </c>
      <c r="N51" s="54">
        <f>IF(B51="", "", IF(OR(I51&lt;&gt;0, K51&lt;&gt;0, J51&lt;&gt;0, L51&lt;&gt;0), IFNA(XLOOKUP(B51, ANNUAIRE_FLOTTE!B:B, ANNUAIRE_FLOTTE!J:J, 50), 50), 0))</f>
        <v>0</v>
      </c>
      <c r="O51" s="54">
        <v>0</v>
      </c>
      <c r="P51" s="54">
        <v>0</v>
      </c>
      <c r="Q51" s="54">
        <v>0</v>
      </c>
      <c r="R51" s="56">
        <f>IF(B51="", "", M51 - N51 - O51 - Q51 + P51)</f>
        <v>0</v>
      </c>
      <c r="S51" s="18" t="s">
        <v>279</v>
      </c>
    </row>
    <row r="52" ht="28" customHeight="1" spans="1:19" x14ac:dyDescent="0.25">
      <c r="A52" s="8" t="s">
        <v>414</v>
      </c>
      <c r="B52" s="9" t="s">
        <v>52</v>
      </c>
      <c r="C52" s="10" t="s">
        <v>52</v>
      </c>
      <c r="D52" s="10" t="s">
        <v>279</v>
      </c>
      <c r="E52" s="47" t="s">
        <v>415</v>
      </c>
      <c r="F52" s="47" t="s">
        <v>279</v>
      </c>
      <c r="G52" s="48" t="s">
        <v>416</v>
      </c>
      <c r="H52" s="48" t="s">
        <v>279</v>
      </c>
      <c r="I52" s="49">
        <f>IF(B52="", "", IF(OR(C52="", C52="—"), 0, IFNA(XLOOKUP(C52, DATA_UBER!A:A, DATA_UBER!Z:Z, 0), 0)))</f>
        <v>19.97</v>
      </c>
      <c r="J52" s="50">
        <f>IF(B52="", "", IF(OR(C52="", C52="—"), 0, IFNA(XLOOKUP(C52, DATA_UBER!A:A, DATA_UBER!J:J, 0), 0)))</f>
        <v>0</v>
      </c>
      <c r="K52" s="49">
        <f>IF(B52="", "", IF(OR(D52="", D52="—"), 0, IFNA(XLOOKUP(D52, DATA_BOLT!A:A, DATA_BOLT!Z:Z, 0), 0)))</f>
        <v>0</v>
      </c>
      <c r="L52" s="50">
        <f>IF(B52="", "", IF(OR(D52="", D52="—"), 0, IFNA(XLOOKUP(D52, DATA_BOLT!A:A, DATA_BOLT!G:G, 0), 0)))</f>
        <v>0</v>
      </c>
      <c r="M52" s="49">
        <f>IF(B52="", "", I52 + K52)</f>
        <v>19.97</v>
      </c>
      <c r="N52" s="49">
        <f>IF(B52="", "", IF(OR(I52&lt;&gt;0, K52&lt;&gt;0, J52&lt;&gt;0, L52&lt;&gt;0), IFNA(XLOOKUP(B52, ANNUAIRE_FLOTTE!B:B, ANNUAIRE_FLOTTE!J:J, 50), 50), 0))</f>
        <v>50</v>
      </c>
      <c r="O52" s="49">
        <v>20</v>
      </c>
      <c r="P52" s="49">
        <v>0</v>
      </c>
      <c r="Q52" s="49">
        <v>0</v>
      </c>
      <c r="R52" s="51">
        <f>IF(B52="", "", M52 - N52 - O52 - Q52 + P52)</f>
        <v>-50.03</v>
      </c>
      <c r="S52" s="12" t="s">
        <v>279</v>
      </c>
    </row>
    <row r="53" ht="28" customHeight="1" spans="1:19" x14ac:dyDescent="0.25">
      <c r="A53" s="14" t="s">
        <v>417</v>
      </c>
      <c r="B53" s="15" t="s">
        <v>418</v>
      </c>
      <c r="C53" s="16" t="s">
        <v>418</v>
      </c>
      <c r="D53" s="16" t="s">
        <v>418</v>
      </c>
      <c r="E53" s="52" t="s">
        <v>419</v>
      </c>
      <c r="F53" s="52" t="s">
        <v>420</v>
      </c>
      <c r="G53" s="53" t="s">
        <v>421</v>
      </c>
      <c r="H53" s="53" t="s">
        <v>421</v>
      </c>
      <c r="I53" s="54">
        <f>IF(B53="", "", IF(OR(C53="", C53="—"), 0, IFNA(XLOOKUP(C53, DATA_UBER!A:A, DATA_UBER!Z:Z, 0), 0)))</f>
        <v>0</v>
      </c>
      <c r="J53" s="50">
        <f>IF(B53="", "", IF(OR(C53="", C53="—"), 0, IFNA(XLOOKUP(C53, DATA_UBER!A:A, DATA_UBER!J:J, 0), 0)))</f>
        <v>0</v>
      </c>
      <c r="K53" s="54">
        <f>IF(B53="", "", IF(OR(D53="", D53="—"), 0, IFNA(XLOOKUP(D53, DATA_BOLT!A:A, DATA_BOLT!Z:Z, 0), 0)))</f>
        <v>0</v>
      </c>
      <c r="L53" s="50">
        <f>IF(B53="", "", IF(OR(D53="", D53="—"), 0, IFNA(XLOOKUP(D53, DATA_BOLT!A:A, DATA_BOLT!G:G, 0), 0)))</f>
        <v>0</v>
      </c>
      <c r="M53" s="54">
        <f>IF(B53="", "", I53 + K53)</f>
        <v>0</v>
      </c>
      <c r="N53" s="54">
        <f>IF(B53="", "", IF(OR(I53&lt;&gt;0, K53&lt;&gt;0, J53&lt;&gt;0, L53&lt;&gt;0), IFNA(XLOOKUP(B53, ANNUAIRE_FLOTTE!B:B, ANNUAIRE_FLOTTE!J:J, 50), 50), 0))</f>
        <v>0</v>
      </c>
      <c r="O53" s="54">
        <v>0</v>
      </c>
      <c r="P53" s="54">
        <v>0</v>
      </c>
      <c r="Q53" s="54">
        <v>0</v>
      </c>
      <c r="R53" s="56">
        <f>IF(B53="", "", M53 - N53 - O53 - Q53 + P53)</f>
        <v>0</v>
      </c>
      <c r="S53" s="18" t="s">
        <v>279</v>
      </c>
    </row>
    <row r="54" ht="28" customHeight="1" spans="1:19" x14ac:dyDescent="0.25">
      <c r="A54" s="8" t="s">
        <v>422</v>
      </c>
      <c r="B54" s="9" t="s">
        <v>423</v>
      </c>
      <c r="C54" s="10" t="s">
        <v>423</v>
      </c>
      <c r="D54" s="10" t="s">
        <v>191</v>
      </c>
      <c r="E54" s="47" t="s">
        <v>192</v>
      </c>
      <c r="F54" s="47" t="s">
        <v>192</v>
      </c>
      <c r="G54" s="48" t="s">
        <v>193</v>
      </c>
      <c r="H54" s="48" t="s">
        <v>193</v>
      </c>
      <c r="I54" s="49">
        <f>IF(B54="", "", IF(OR(C54="", C54="—"), 0, IFNA(XLOOKUP(C54, DATA_UBER!A:A, DATA_UBER!Z:Z, 0), 0)))</f>
        <v>0</v>
      </c>
      <c r="J54" s="50">
        <f>IF(B54="", "", IF(OR(C54="", C54="—"), 0, IFNA(XLOOKUP(C54, DATA_UBER!A:A, DATA_UBER!J:J, 0), 0)))</f>
        <v>0</v>
      </c>
      <c r="K54" s="49">
        <f>IF(B54="", "", IF(OR(D54="", D54="—"), 0, IFNA(XLOOKUP(D54, DATA_BOLT!A:A, DATA_BOLT!Z:Z, 0), 0)))</f>
        <v>78.66</v>
      </c>
      <c r="L54" s="50">
        <f>IF(B54="", "", IF(OR(D54="", D54="—"), 0, IFNA(XLOOKUP(D54, DATA_BOLT!A:A, DATA_BOLT!G:G, 0), 0)))</f>
        <v>0</v>
      </c>
      <c r="M54" s="49">
        <f>IF(B54="", "", I54 + K54)</f>
        <v>78.66</v>
      </c>
      <c r="N54" s="49">
        <f>IF(B54="", "", IF(OR(I54&lt;&gt;0, K54&lt;&gt;0, J54&lt;&gt;0, L54&lt;&gt;0), IFNA(XLOOKUP(B54, ANNUAIRE_FLOTTE!B:B, ANNUAIRE_FLOTTE!J:J, 50), 50), 0))</f>
        <v>50</v>
      </c>
      <c r="O54" s="49">
        <v>0</v>
      </c>
      <c r="P54" s="49">
        <v>0</v>
      </c>
      <c r="Q54" s="49">
        <v>0</v>
      </c>
      <c r="R54" s="55">
        <f>IF(B54="", "", M54 - N54 - O54 - Q54 + P54)</f>
        <v>28.66</v>
      </c>
      <c r="S54" s="12" t="s">
        <v>279</v>
      </c>
    </row>
    <row r="55" ht="28" customHeight="1" spans="1:19" x14ac:dyDescent="0.25">
      <c r="A55" s="14" t="s">
        <v>424</v>
      </c>
      <c r="B55" s="15" t="s">
        <v>195</v>
      </c>
      <c r="C55" s="16" t="s">
        <v>82</v>
      </c>
      <c r="D55" s="16" t="s">
        <v>195</v>
      </c>
      <c r="E55" s="52" t="s">
        <v>425</v>
      </c>
      <c r="F55" s="52" t="s">
        <v>196</v>
      </c>
      <c r="G55" s="53" t="s">
        <v>197</v>
      </c>
      <c r="H55" s="53" t="s">
        <v>197</v>
      </c>
      <c r="I55" s="54">
        <f>IF(B55="", "", IF(OR(C55="", C55="—"), 0, IFNA(XLOOKUP(C55, DATA_UBER!A:A, DATA_UBER!Z:Z, 0), 0)))</f>
        <v>17.43</v>
      </c>
      <c r="J55" s="50">
        <f>IF(B55="", "", IF(OR(C55="", C55="—"), 0, IFNA(XLOOKUP(C55, DATA_UBER!A:A, DATA_UBER!J:J, 0), 0)))</f>
        <v>0</v>
      </c>
      <c r="K55" s="54">
        <f>IF(B55="", "", IF(OR(D55="", D55="—"), 0, IFNA(XLOOKUP(D55, DATA_BOLT!A:A, DATA_BOLT!Z:Z, 0), 0)))</f>
        <v>45.21</v>
      </c>
      <c r="L55" s="50">
        <f>IF(B55="", "", IF(OR(D55="", D55="—"), 0, IFNA(XLOOKUP(D55, DATA_BOLT!A:A, DATA_BOLT!G:G, 0), 0)))</f>
        <v>31.8</v>
      </c>
      <c r="M55" s="54">
        <f>IF(B55="", "", I55 + K55)</f>
        <v>62.64</v>
      </c>
      <c r="N55" s="54">
        <f>IF(B55="", "", IF(OR(I55&lt;&gt;0, K55&lt;&gt;0, J55&lt;&gt;0, L55&lt;&gt;0), IFNA(XLOOKUP(B55, ANNUAIRE_FLOTTE!B:B, ANNUAIRE_FLOTTE!J:J, 50), 50), 0))</f>
        <v>50</v>
      </c>
      <c r="O55" s="54">
        <v>0</v>
      </c>
      <c r="P55" s="54">
        <v>0</v>
      </c>
      <c r="Q55" s="54">
        <v>0</v>
      </c>
      <c r="R55" s="55">
        <f>IF(B55="", "", M55 - N55 - O55 - Q55 + P55)</f>
        <v>12.64</v>
      </c>
      <c r="S55" s="18" t="s">
        <v>279</v>
      </c>
    </row>
    <row r="56" ht="28" customHeight="1" spans="1:19" x14ac:dyDescent="0.25">
      <c r="A56" s="8" t="s">
        <v>426</v>
      </c>
      <c r="B56" s="9" t="s">
        <v>427</v>
      </c>
      <c r="C56" s="10" t="s">
        <v>427</v>
      </c>
      <c r="D56" s="10" t="s">
        <v>428</v>
      </c>
      <c r="E56" s="47" t="s">
        <v>429</v>
      </c>
      <c r="F56" s="47" t="s">
        <v>430</v>
      </c>
      <c r="G56" s="48" t="s">
        <v>431</v>
      </c>
      <c r="H56" s="48" t="s">
        <v>431</v>
      </c>
      <c r="I56" s="49">
        <f>IF(B56="", "", IF(OR(C56="", C56="—"), 0, IFNA(XLOOKUP(C56, DATA_UBER!A:A, DATA_UBER!Z:Z, 0), 0)))</f>
        <v>0</v>
      </c>
      <c r="J56" s="50">
        <f>IF(B56="", "", IF(OR(C56="", C56="—"), 0, IFNA(XLOOKUP(C56, DATA_UBER!A:A, DATA_UBER!J:J, 0), 0)))</f>
        <v>0</v>
      </c>
      <c r="K56" s="49">
        <f>IF(B56="", "", IF(OR(D56="", D56="—"), 0, IFNA(XLOOKUP(D56, DATA_BOLT!A:A, DATA_BOLT!Z:Z, 0), 0)))</f>
        <v>0</v>
      </c>
      <c r="L56" s="50">
        <f>IF(B56="", "", IF(OR(D56="", D56="—"), 0, IFNA(XLOOKUP(D56, DATA_BOLT!A:A, DATA_BOLT!G:G, 0), 0)))</f>
        <v>0</v>
      </c>
      <c r="M56" s="49">
        <f>IF(B56="", "", I56 + K56)</f>
        <v>0</v>
      </c>
      <c r="N56" s="49">
        <f>IF(B56="", "", IF(OR(I56&lt;&gt;0, K56&lt;&gt;0, J56&lt;&gt;0, L56&lt;&gt;0), IFNA(XLOOKUP(B56, ANNUAIRE_FLOTTE!B:B, ANNUAIRE_FLOTTE!J:J, 50), 50), 0))</f>
        <v>0</v>
      </c>
      <c r="O56" s="49">
        <v>0</v>
      </c>
      <c r="P56" s="49">
        <v>0</v>
      </c>
      <c r="Q56" s="49">
        <v>0</v>
      </c>
      <c r="R56" s="57">
        <f>IF(B56="", "", M56 - N56 - O56 - Q56 + P56)</f>
        <v>0</v>
      </c>
      <c r="S56" s="12" t="s">
        <v>279</v>
      </c>
    </row>
    <row r="57" ht="28" customHeight="1" spans="1:19" x14ac:dyDescent="0.25">
      <c r="A57" s="14" t="s">
        <v>432</v>
      </c>
      <c r="B57" s="15" t="s">
        <v>207</v>
      </c>
      <c r="C57" s="16" t="s">
        <v>433</v>
      </c>
      <c r="D57" s="16" t="s">
        <v>207</v>
      </c>
      <c r="E57" s="52" t="s">
        <v>434</v>
      </c>
      <c r="F57" s="52" t="s">
        <v>208</v>
      </c>
      <c r="G57" s="53" t="s">
        <v>209</v>
      </c>
      <c r="H57" s="53" t="s">
        <v>209</v>
      </c>
      <c r="I57" s="54">
        <f>IF(B57="", "", IF(OR(C57="", C57="—"), 0, IFNA(XLOOKUP(C57, DATA_UBER!A:A, DATA_UBER!Z:Z, 0), 0)))</f>
        <v>0</v>
      </c>
      <c r="J57" s="50">
        <f>IF(B57="", "", IF(OR(C57="", C57="—"), 0, IFNA(XLOOKUP(C57, DATA_UBER!A:A, DATA_UBER!J:J, 0), 0)))</f>
        <v>0</v>
      </c>
      <c r="K57" s="54">
        <f>IF(B57="", "", IF(OR(D57="", D57="—"), 0, IFNA(XLOOKUP(D57, DATA_BOLT!A:A, DATA_BOLT!Z:Z, 0), 0)))</f>
        <v>165.2</v>
      </c>
      <c r="L57" s="50">
        <f>IF(B57="", "", IF(OR(D57="", D57="—"), 0, IFNA(XLOOKUP(D57, DATA_BOLT!A:A, DATA_BOLT!G:G, 0), 0)))</f>
        <v>219.6</v>
      </c>
      <c r="M57" s="54">
        <f>IF(B57="", "", I57 + K57)</f>
        <v>165.2</v>
      </c>
      <c r="N57" s="54">
        <f>IF(B57="", "", IF(OR(I57&lt;&gt;0, K57&lt;&gt;0, J57&lt;&gt;0, L57&lt;&gt;0), IFNA(XLOOKUP(B57, ANNUAIRE_FLOTTE!B:B, ANNUAIRE_FLOTTE!J:J, 50), 50), 0))</f>
        <v>50</v>
      </c>
      <c r="O57" s="54">
        <v>0</v>
      </c>
      <c r="P57" s="54">
        <v>0</v>
      </c>
      <c r="Q57" s="54">
        <v>0</v>
      </c>
      <c r="R57" s="55">
        <f>IF(B57="", "", M57 - N57 - O57 - Q57 + P57)</f>
        <v>115.2</v>
      </c>
      <c r="S57" s="18" t="s">
        <v>279</v>
      </c>
    </row>
    <row r="58" ht="28" customHeight="1" spans="1:19" x14ac:dyDescent="0.25">
      <c r="A58" s="8" t="s">
        <v>435</v>
      </c>
      <c r="B58" s="9" t="s">
        <v>436</v>
      </c>
      <c r="C58" s="10" t="s">
        <v>437</v>
      </c>
      <c r="D58" s="10" t="s">
        <v>279</v>
      </c>
      <c r="E58" s="47" t="s">
        <v>438</v>
      </c>
      <c r="F58" s="47" t="s">
        <v>279</v>
      </c>
      <c r="G58" s="48" t="s">
        <v>439</v>
      </c>
      <c r="H58" s="48" t="s">
        <v>279</v>
      </c>
      <c r="I58" s="49">
        <f>IF(B58="", "", IF(OR(C58="", C58="—"), 0, IFNA(XLOOKUP(C58, DATA_UBER!A:A, DATA_UBER!Z:Z, 0), 0)))</f>
        <v>0</v>
      </c>
      <c r="J58" s="50">
        <f>IF(B58="", "", IF(OR(C58="", C58="—"), 0, IFNA(XLOOKUP(C58, DATA_UBER!A:A, DATA_UBER!J:J, 0), 0)))</f>
        <v>0</v>
      </c>
      <c r="K58" s="49">
        <f>IF(B58="", "", IF(OR(D58="", D58="—"), 0, IFNA(XLOOKUP(D58, DATA_BOLT!A:A, DATA_BOLT!Z:Z, 0), 0)))</f>
        <v>0</v>
      </c>
      <c r="L58" s="50">
        <f>IF(B58="", "", IF(OR(D58="", D58="—"), 0, IFNA(XLOOKUP(D58, DATA_BOLT!A:A, DATA_BOLT!G:G, 0), 0)))</f>
        <v>0</v>
      </c>
      <c r="M58" s="49">
        <f>IF(B58="", "", I58 + K58)</f>
        <v>0</v>
      </c>
      <c r="N58" s="49">
        <f>IF(B58="", "", IF(OR(I58&lt;&gt;0, K58&lt;&gt;0, J58&lt;&gt;0, L58&lt;&gt;0), IFNA(XLOOKUP(B58, ANNUAIRE_FLOTTE!B:B, ANNUAIRE_FLOTTE!J:J, 50), 50), 0))</f>
        <v>0</v>
      </c>
      <c r="O58" s="49">
        <v>0</v>
      </c>
      <c r="P58" s="49">
        <v>0</v>
      </c>
      <c r="Q58" s="49">
        <v>0</v>
      </c>
      <c r="R58" s="57">
        <f>IF(B58="", "", M58 - N58 - O58 - Q58 + P58)</f>
        <v>0</v>
      </c>
      <c r="S58" s="12" t="s">
        <v>279</v>
      </c>
    </row>
    <row r="59" ht="28" customHeight="1" spans="1:19" x14ac:dyDescent="0.25">
      <c r="A59" s="14" t="s">
        <v>440</v>
      </c>
      <c r="B59" s="15" t="s">
        <v>64</v>
      </c>
      <c r="C59" s="16" t="s">
        <v>64</v>
      </c>
      <c r="D59" s="16" t="s">
        <v>64</v>
      </c>
      <c r="E59" s="52" t="s">
        <v>211</v>
      </c>
      <c r="F59" s="52" t="s">
        <v>211</v>
      </c>
      <c r="G59" s="53" t="s">
        <v>212</v>
      </c>
      <c r="H59" s="53" t="s">
        <v>212</v>
      </c>
      <c r="I59" s="54">
        <f>IF(B59="", "", IF(OR(C59="", C59="—"), 0, IFNA(XLOOKUP(C59, DATA_UBER!A:A, DATA_UBER!Z:Z, 0), 0)))</f>
        <v>11</v>
      </c>
      <c r="J59" s="50">
        <f>IF(B59="", "", IF(OR(C59="", C59="—"), 0, IFNA(XLOOKUP(C59, DATA_UBER!A:A, DATA_UBER!J:J, 0), 0)))</f>
        <v>0</v>
      </c>
      <c r="K59" s="54">
        <f>IF(B59="", "", IF(OR(D59="", D59="—"), 0, IFNA(XLOOKUP(D59, DATA_BOLT!A:A, DATA_BOLT!Z:Z, 0), 0)))</f>
        <v>253.37</v>
      </c>
      <c r="L59" s="50">
        <f>IF(B59="", "", IF(OR(D59="", D59="—"), 0, IFNA(XLOOKUP(D59, DATA_BOLT!A:A, DATA_BOLT!G:G, 0), 0)))</f>
        <v>254.6</v>
      </c>
      <c r="M59" s="54">
        <f>IF(B59="", "", I59 + K59)</f>
        <v>264.37</v>
      </c>
      <c r="N59" s="54">
        <f>IF(B59="", "", IF(OR(I59&lt;&gt;0, K59&lt;&gt;0, J59&lt;&gt;0, L59&lt;&gt;0), IFNA(XLOOKUP(B59, ANNUAIRE_FLOTTE!B:B, ANNUAIRE_FLOTTE!J:J, 50), 50), 0))</f>
        <v>50</v>
      </c>
      <c r="O59" s="54">
        <v>137.5</v>
      </c>
      <c r="P59" s="54">
        <v>0</v>
      </c>
      <c r="Q59" s="54">
        <v>0</v>
      </c>
      <c r="R59" s="55">
        <f>IF(B59="", "", M59 - N59 - O59 - Q59 + P59)</f>
        <v>76.87</v>
      </c>
      <c r="S59" s="18" t="s">
        <v>279</v>
      </c>
    </row>
    <row r="60" ht="28" customHeight="1" spans="1:19" x14ac:dyDescent="0.25">
      <c r="A60" s="8" t="s">
        <v>441</v>
      </c>
      <c r="B60" s="9" t="s">
        <v>214</v>
      </c>
      <c r="C60" s="10" t="s">
        <v>100</v>
      </c>
      <c r="D60" s="10" t="s">
        <v>214</v>
      </c>
      <c r="E60" s="47" t="s">
        <v>215</v>
      </c>
      <c r="F60" s="47" t="s">
        <v>215</v>
      </c>
      <c r="G60" s="48" t="s">
        <v>216</v>
      </c>
      <c r="H60" s="48" t="s">
        <v>216</v>
      </c>
      <c r="I60" s="49">
        <f>IF(B60="", "", IF(OR(C60="", C60="—"), 0, IFNA(XLOOKUP(C60, DATA_UBER!A:A, DATA_UBER!Z:Z, 0), 0)))</f>
        <v>92.49</v>
      </c>
      <c r="J60" s="50">
        <f>IF(B60="", "", IF(OR(C60="", C60="—"), 0, IFNA(XLOOKUP(C60, DATA_UBER!A:A, DATA_UBER!J:J, 0), 0)))</f>
        <v>0</v>
      </c>
      <c r="K60" s="49">
        <f>IF(B60="", "", IF(OR(D60="", D60="—"), 0, IFNA(XLOOKUP(D60, DATA_BOLT!A:A, DATA_BOLT!Z:Z, 0), 0)))</f>
        <v>53.98</v>
      </c>
      <c r="L60" s="50">
        <f>IF(B60="", "", IF(OR(D60="", D60="—"), 0, IFNA(XLOOKUP(D60, DATA_BOLT!A:A, DATA_BOLT!G:G, 0), 0)))</f>
        <v>89.6</v>
      </c>
      <c r="M60" s="49">
        <f>IF(B60="", "", I60 + K60)</f>
        <v>146.47</v>
      </c>
      <c r="N60" s="49">
        <f>IF(B60="", "", IF(OR(I60&lt;&gt;0, K60&lt;&gt;0, J60&lt;&gt;0, L60&lt;&gt;0), IFNA(XLOOKUP(B60, ANNUAIRE_FLOTTE!B:B, ANNUAIRE_FLOTTE!J:J, 50), 50), 0))</f>
        <v>50</v>
      </c>
      <c r="O60" s="49">
        <v>0</v>
      </c>
      <c r="P60" s="49">
        <v>0</v>
      </c>
      <c r="Q60" s="49">
        <v>0</v>
      </c>
      <c r="R60" s="55">
        <f>IF(B60="", "", M60 - N60 - O60 - Q60 + P60)</f>
        <v>96.47</v>
      </c>
      <c r="S60" s="12" t="s">
        <v>279</v>
      </c>
    </row>
    <row r="61" ht="28" customHeight="1" spans="1:19" x14ac:dyDescent="0.25">
      <c r="A61" s="14" t="s">
        <v>442</v>
      </c>
      <c r="B61" s="15" t="s">
        <v>222</v>
      </c>
      <c r="C61" s="16" t="s">
        <v>222</v>
      </c>
      <c r="D61" s="16" t="s">
        <v>222</v>
      </c>
      <c r="E61" s="52" t="s">
        <v>223</v>
      </c>
      <c r="F61" s="52" t="s">
        <v>223</v>
      </c>
      <c r="G61" s="53" t="s">
        <v>224</v>
      </c>
      <c r="H61" s="53" t="s">
        <v>224</v>
      </c>
      <c r="I61" s="54">
        <f>IF(B61="", "", IF(OR(C61="", C61="—"), 0, IFNA(XLOOKUP(C61, DATA_UBER!A:A, DATA_UBER!Z:Z, 0), 0)))</f>
        <v>0</v>
      </c>
      <c r="J61" s="50">
        <f>IF(B61="", "", IF(OR(C61="", C61="—"), 0, IFNA(XLOOKUP(C61, DATA_UBER!A:A, DATA_UBER!J:J, 0), 0)))</f>
        <v>0</v>
      </c>
      <c r="K61" s="54">
        <f>IF(B61="", "", IF(OR(D61="", D61="—"), 0, IFNA(XLOOKUP(D61, DATA_BOLT!A:A, DATA_BOLT!Z:Z, 0), 0)))</f>
        <v>117.24</v>
      </c>
      <c r="L61" s="50">
        <f>IF(B61="", "", IF(OR(D61="", D61="—"), 0, IFNA(XLOOKUP(D61, DATA_BOLT!A:A, DATA_BOLT!G:G, 0), 0)))</f>
        <v>0</v>
      </c>
      <c r="M61" s="54">
        <f>IF(B61="", "", I61 + K61)</f>
        <v>117.24</v>
      </c>
      <c r="N61" s="54">
        <f>IF(B61="", "", IF(OR(I61&lt;&gt;0, K61&lt;&gt;0, J61&lt;&gt;0, L61&lt;&gt;0), IFNA(XLOOKUP(B61, ANNUAIRE_FLOTTE!B:B, ANNUAIRE_FLOTTE!J:J, 50), 50), 0))</f>
        <v>50</v>
      </c>
      <c r="O61" s="54">
        <v>0</v>
      </c>
      <c r="P61" s="54">
        <v>0</v>
      </c>
      <c r="Q61" s="54">
        <v>0</v>
      </c>
      <c r="R61" s="55">
        <f>IF(B61="", "", M61 - N61 - O61 - Q61 + P61)</f>
        <v>67.24</v>
      </c>
      <c r="S61" s="18" t="s">
        <v>279</v>
      </c>
    </row>
    <row r="62" ht="28" customHeight="1" spans="1:19" x14ac:dyDescent="0.25">
      <c r="A62" s="8" t="s">
        <v>443</v>
      </c>
      <c r="B62" s="9" t="s">
        <v>76</v>
      </c>
      <c r="C62" s="10" t="s">
        <v>76</v>
      </c>
      <c r="D62" s="10" t="s">
        <v>76</v>
      </c>
      <c r="E62" s="47" t="s">
        <v>444</v>
      </c>
      <c r="F62" s="47" t="s">
        <v>444</v>
      </c>
      <c r="G62" s="48" t="s">
        <v>445</v>
      </c>
      <c r="H62" s="48" t="s">
        <v>445</v>
      </c>
      <c r="I62" s="49">
        <f>IF(B62="", "", IF(OR(C62="", C62="—"), 0, IFNA(XLOOKUP(C62, DATA_UBER!A:A, DATA_UBER!Z:Z, 0), 0)))</f>
        <v>-5.87</v>
      </c>
      <c r="J62" s="50">
        <f>IF(B62="", "", IF(OR(C62="", C62="—"), 0, IFNA(XLOOKUP(C62, DATA_UBER!A:A, DATA_UBER!J:J, 0), 0)))</f>
        <v>23.96</v>
      </c>
      <c r="K62" s="49">
        <f>IF(B62="", "", IF(OR(D62="", D62="—"), 0, IFNA(XLOOKUP(D62, DATA_BOLT!A:A, DATA_BOLT!Z:Z, 0), 0)))</f>
        <v>0</v>
      </c>
      <c r="L62" s="50">
        <f>IF(B62="", "", IF(OR(D62="", D62="—"), 0, IFNA(XLOOKUP(D62, DATA_BOLT!A:A, DATA_BOLT!G:G, 0), 0)))</f>
        <v>0</v>
      </c>
      <c r="M62" s="49">
        <f>IF(B62="", "", I62 + K62)</f>
        <v>-5.87</v>
      </c>
      <c r="N62" s="49">
        <f>IF(B62="", "", IF(OR(I62&lt;&gt;0, K62&lt;&gt;0, J62&lt;&gt;0, L62&lt;&gt;0), IFNA(XLOOKUP(B62, ANNUAIRE_FLOTTE!B:B, ANNUAIRE_FLOTTE!J:J, 50), 50), 0))</f>
        <v>50</v>
      </c>
      <c r="O62" s="49">
        <v>0</v>
      </c>
      <c r="P62" s="49">
        <v>0</v>
      </c>
      <c r="Q62" s="49">
        <v>0</v>
      </c>
      <c r="R62" s="51">
        <f>IF(B62="", "", M62 - N62 - O62 - Q62 + P62)</f>
        <v>-55.87</v>
      </c>
      <c r="S62" s="12" t="s">
        <v>279</v>
      </c>
    </row>
    <row r="63" ht="28" customHeight="1" spans="1:19" x14ac:dyDescent="0.25">
      <c r="A63" s="14" t="s">
        <v>446</v>
      </c>
      <c r="B63" s="15" t="s">
        <v>447</v>
      </c>
      <c r="C63" s="16" t="s">
        <v>448</v>
      </c>
      <c r="D63" s="16" t="s">
        <v>279</v>
      </c>
      <c r="E63" s="52" t="s">
        <v>449</v>
      </c>
      <c r="F63" s="52" t="s">
        <v>279</v>
      </c>
      <c r="G63" s="53" t="s">
        <v>450</v>
      </c>
      <c r="H63" s="53" t="s">
        <v>279</v>
      </c>
      <c r="I63" s="54">
        <f>IF(B63="", "", IF(OR(C63="", C63="—"), 0, IFNA(XLOOKUP(C63, DATA_UBER!A:A, DATA_UBER!Z:Z, 0), 0)))</f>
        <v>0</v>
      </c>
      <c r="J63" s="50">
        <f>IF(B63="", "", IF(OR(C63="", C63="—"), 0, IFNA(XLOOKUP(C63, DATA_UBER!A:A, DATA_UBER!J:J, 0), 0)))</f>
        <v>0</v>
      </c>
      <c r="K63" s="54">
        <f>IF(B63="", "", IF(OR(D63="", D63="—"), 0, IFNA(XLOOKUP(D63, DATA_BOLT!A:A, DATA_BOLT!Z:Z, 0), 0)))</f>
        <v>0</v>
      </c>
      <c r="L63" s="50">
        <f>IF(B63="", "", IF(OR(D63="", D63="—"), 0, IFNA(XLOOKUP(D63, DATA_BOLT!A:A, DATA_BOLT!G:G, 0), 0)))</f>
        <v>0</v>
      </c>
      <c r="M63" s="54">
        <f>IF(B63="", "", I63 + K63)</f>
        <v>0</v>
      </c>
      <c r="N63" s="54">
        <f>IF(B63="", "", IF(OR(I63&lt;&gt;0, K63&lt;&gt;0, J63&lt;&gt;0, L63&lt;&gt;0), IFNA(XLOOKUP(B63, ANNUAIRE_FLOTTE!B:B, ANNUAIRE_FLOTTE!J:J, 50), 50), 0))</f>
        <v>0</v>
      </c>
      <c r="O63" s="54">
        <v>0</v>
      </c>
      <c r="P63" s="54">
        <v>0</v>
      </c>
      <c r="Q63" s="54">
        <v>0</v>
      </c>
      <c r="R63" s="56">
        <f>IF(B63="", "", M63 - N63 - O63 - Q63 + P63)</f>
        <v>0</v>
      </c>
      <c r="S63" s="18" t="s">
        <v>279</v>
      </c>
    </row>
    <row r="64" ht="28" customHeight="1" spans="1:19" x14ac:dyDescent="0.25">
      <c r="A64" s="8" t="s">
        <v>451</v>
      </c>
      <c r="B64" s="9" t="s">
        <v>230</v>
      </c>
      <c r="C64" s="10" t="s">
        <v>230</v>
      </c>
      <c r="D64" s="10" t="s">
        <v>230</v>
      </c>
      <c r="E64" s="47" t="s">
        <v>452</v>
      </c>
      <c r="F64" s="47" t="s">
        <v>231</v>
      </c>
      <c r="G64" s="48" t="s">
        <v>232</v>
      </c>
      <c r="H64" s="48" t="s">
        <v>232</v>
      </c>
      <c r="I64" s="49">
        <f>IF(B64="", "", IF(OR(C64="", C64="—"), 0, IFNA(XLOOKUP(C64, DATA_UBER!A:A, DATA_UBER!Z:Z, 0), 0)))</f>
        <v>0</v>
      </c>
      <c r="J64" s="50">
        <f>IF(B64="", "", IF(OR(C64="", C64="—"), 0, IFNA(XLOOKUP(C64, DATA_UBER!A:A, DATA_UBER!J:J, 0), 0)))</f>
        <v>0</v>
      </c>
      <c r="K64" s="49">
        <f>IF(B64="", "", IF(OR(D64="", D64="—"), 0, IFNA(XLOOKUP(D64, DATA_BOLT!A:A, DATA_BOLT!Z:Z, 0), 0)))</f>
        <v>523</v>
      </c>
      <c r="L64" s="50">
        <f>IF(B64="", "", IF(OR(D64="", D64="—"), 0, IFNA(XLOOKUP(D64, DATA_BOLT!A:A, DATA_BOLT!G:G, 0), 0)))</f>
        <v>322.7</v>
      </c>
      <c r="M64" s="49">
        <f>IF(B64="", "", I64 + K64)</f>
        <v>523</v>
      </c>
      <c r="N64" s="49">
        <f>IF(B64="", "", IF(OR(I64&lt;&gt;0, K64&lt;&gt;0, J64&lt;&gt;0, L64&lt;&gt;0), IFNA(XLOOKUP(B64, ANNUAIRE_FLOTTE!B:B, ANNUAIRE_FLOTTE!J:J, 50), 50), 0))</f>
        <v>50</v>
      </c>
      <c r="O64" s="49">
        <v>0</v>
      </c>
      <c r="P64" s="49">
        <v>0</v>
      </c>
      <c r="Q64" s="49">
        <v>0</v>
      </c>
      <c r="R64" s="55">
        <f>IF(B64="", "", M64 - N64 - O64 - Q64 + P64)</f>
        <v>473</v>
      </c>
      <c r="S64" s="12" t="s">
        <v>279</v>
      </c>
    </row>
    <row r="65" ht="28" customHeight="1" spans="1:19" x14ac:dyDescent="0.25">
      <c r="A65" s="14" t="s">
        <v>453</v>
      </c>
      <c r="B65" s="15" t="s">
        <v>31</v>
      </c>
      <c r="C65" s="16" t="s">
        <v>31</v>
      </c>
      <c r="D65" s="16" t="s">
        <v>31</v>
      </c>
      <c r="E65" s="52" t="s">
        <v>454</v>
      </c>
      <c r="F65" s="52" t="s">
        <v>234</v>
      </c>
      <c r="G65" s="53" t="s">
        <v>235</v>
      </c>
      <c r="H65" s="53" t="s">
        <v>235</v>
      </c>
      <c r="I65" s="54">
        <f>IF(B65="", "", IF(OR(C65="", C65="—"), 0, IFNA(XLOOKUP(C65, DATA_UBER!A:A, DATA_UBER!Z:Z, 0), 0)))</f>
        <v>21.12</v>
      </c>
      <c r="J65" s="50">
        <f>IF(B65="", "", IF(OR(C65="", C65="—"), 0, IFNA(XLOOKUP(C65, DATA_UBER!A:A, DATA_UBER!J:J, 0), 0)))</f>
        <v>12.95</v>
      </c>
      <c r="K65" s="54">
        <f>IF(B65="", "", IF(OR(D65="", D65="—"), 0, IFNA(XLOOKUP(D65, DATA_BOLT!A:A, DATA_BOLT!Z:Z, 0), 0)))</f>
        <v>577.93</v>
      </c>
      <c r="L65" s="50">
        <f>IF(B65="", "", IF(OR(D65="", D65="—"), 0, IFNA(XLOOKUP(D65, DATA_BOLT!A:A, DATA_BOLT!G:G, 0), 0)))</f>
        <v>227.9</v>
      </c>
      <c r="M65" s="54">
        <f>IF(B65="", "", I65 + K65)</f>
        <v>599.05</v>
      </c>
      <c r="N65" s="54">
        <f>IF(B65="", "", IF(OR(I65&lt;&gt;0, K65&lt;&gt;0, J65&lt;&gt;0, L65&lt;&gt;0), IFNA(XLOOKUP(B65, ANNUAIRE_FLOTTE!B:B, ANNUAIRE_FLOTTE!J:J, 50), 50), 0))</f>
        <v>50</v>
      </c>
      <c r="O65" s="54">
        <v>0</v>
      </c>
      <c r="P65" s="54">
        <v>0</v>
      </c>
      <c r="Q65" s="54">
        <v>0</v>
      </c>
      <c r="R65" s="55">
        <f>IF(B65="", "", M65 - N65 - O65 - Q65 + P65)</f>
        <v>549.05</v>
      </c>
      <c r="S65" s="18" t="s">
        <v>279</v>
      </c>
    </row>
    <row r="66" ht="28" customHeight="1" spans="1:19" x14ac:dyDescent="0.25">
      <c r="A66" s="8" t="s">
        <v>455</v>
      </c>
      <c r="B66" s="9" t="s">
        <v>61</v>
      </c>
      <c r="C66" s="10" t="s">
        <v>61</v>
      </c>
      <c r="D66" s="10" t="s">
        <v>61</v>
      </c>
      <c r="E66" s="47" t="s">
        <v>456</v>
      </c>
      <c r="F66" s="47" t="s">
        <v>241</v>
      </c>
      <c r="G66" s="48" t="s">
        <v>457</v>
      </c>
      <c r="H66" s="48" t="s">
        <v>242</v>
      </c>
      <c r="I66" s="49">
        <f>IF(B66="", "", IF(OR(C66="", C66="—"), 0, IFNA(XLOOKUP(C66, DATA_UBER!A:A, DATA_UBER!Z:Z, 0), 0)))</f>
        <v>19.97</v>
      </c>
      <c r="J66" s="50">
        <f>IF(B66="", "", IF(OR(C66="", C66="—"), 0, IFNA(XLOOKUP(C66, DATA_UBER!A:A, DATA_UBER!J:J, 0), 0)))</f>
        <v>0</v>
      </c>
      <c r="K66" s="49">
        <f>IF(B66="", "", IF(OR(D66="", D66="—"), 0, IFNA(XLOOKUP(D66, DATA_BOLT!A:A, DATA_BOLT!Z:Z, 0), 0)))</f>
        <v>505.27</v>
      </c>
      <c r="L66" s="50">
        <f>IF(B66="", "", IF(OR(D66="", D66="—"), 0, IFNA(XLOOKUP(D66, DATA_BOLT!A:A, DATA_BOLT!G:G, 0), 0)))</f>
        <v>141.3</v>
      </c>
      <c r="M66" s="49">
        <f>IF(B66="", "", I66 + K66)</f>
        <v>525.24</v>
      </c>
      <c r="N66" s="49">
        <f>IF(B66="", "", IF(OR(I66&lt;&gt;0, K66&lt;&gt;0, J66&lt;&gt;0, L66&lt;&gt;0), IFNA(XLOOKUP(B66, ANNUAIRE_FLOTTE!B:B, ANNUAIRE_FLOTTE!J:J, 50), 50), 0))</f>
        <v>50</v>
      </c>
      <c r="O66" s="49">
        <v>0</v>
      </c>
      <c r="P66" s="49">
        <v>0</v>
      </c>
      <c r="Q66" s="49">
        <v>0</v>
      </c>
      <c r="R66" s="55">
        <f>IF(B66="", "", M66 - N66 - O66 - Q66 + P66)</f>
        <v>475.24</v>
      </c>
      <c r="S66" s="12" t="s">
        <v>279</v>
      </c>
    </row>
    <row r="67" ht="28" customHeight="1" spans="1:19" x14ac:dyDescent="0.25">
      <c r="A67" s="14" t="s">
        <v>458</v>
      </c>
      <c r="B67" s="15" t="s">
        <v>459</v>
      </c>
      <c r="C67" s="16" t="s">
        <v>459</v>
      </c>
      <c r="D67" s="16" t="s">
        <v>244</v>
      </c>
      <c r="E67" s="52" t="s">
        <v>245</v>
      </c>
      <c r="F67" s="52" t="s">
        <v>245</v>
      </c>
      <c r="G67" s="53" t="s">
        <v>212</v>
      </c>
      <c r="H67" s="53" t="s">
        <v>246</v>
      </c>
      <c r="I67" s="54">
        <f>IF(B67="", "", IF(OR(C67="", C67="—"), 0, IFNA(XLOOKUP(C67, DATA_UBER!A:A, DATA_UBER!Z:Z, 0), 0)))</f>
        <v>0</v>
      </c>
      <c r="J67" s="50">
        <f>IF(B67="", "", IF(OR(C67="", C67="—"), 0, IFNA(XLOOKUP(C67, DATA_UBER!A:A, DATA_UBER!J:J, 0), 0)))</f>
        <v>0</v>
      </c>
      <c r="K67" s="54">
        <f>IF(B67="", "", IF(OR(D67="", D67="—"), 0, IFNA(XLOOKUP(D67, DATA_BOLT!A:A, DATA_BOLT!Z:Z, 0), 0)))</f>
        <v>363.2</v>
      </c>
      <c r="L67" s="50">
        <f>IF(B67="", "", IF(OR(D67="", D67="—"), 0, IFNA(XLOOKUP(D67, DATA_BOLT!A:A, DATA_BOLT!G:G, 0), 0)))</f>
        <v>14.9</v>
      </c>
      <c r="M67" s="54">
        <f>IF(B67="", "", I67 + K67)</f>
        <v>363.2</v>
      </c>
      <c r="N67" s="54">
        <f>IF(B67="", "", IF(OR(I67&lt;&gt;0, K67&lt;&gt;0, J67&lt;&gt;0, L67&lt;&gt;0), IFNA(XLOOKUP(B67, ANNUAIRE_FLOTTE!B:B, ANNUAIRE_FLOTTE!J:J, 50), 50), 0))</f>
        <v>50</v>
      </c>
      <c r="O67" s="54">
        <v>0</v>
      </c>
      <c r="P67" s="54">
        <v>0</v>
      </c>
      <c r="Q67" s="54">
        <v>0</v>
      </c>
      <c r="R67" s="55">
        <f>IF(B67="", "", M67 - N67 - O67 - Q67 + P67)</f>
        <v>313.2</v>
      </c>
      <c r="S67" s="18" t="s">
        <v>279</v>
      </c>
    </row>
    <row r="68" ht="28" customHeight="1" spans="1:19" x14ac:dyDescent="0.25">
      <c r="A68" s="8" t="s">
        <v>460</v>
      </c>
      <c r="B68" s="9" t="s">
        <v>461</v>
      </c>
      <c r="C68" s="10" t="s">
        <v>461</v>
      </c>
      <c r="D68" s="10" t="s">
        <v>279</v>
      </c>
      <c r="E68" s="47" t="s">
        <v>462</v>
      </c>
      <c r="F68" s="47" t="s">
        <v>279</v>
      </c>
      <c r="G68" s="48" t="s">
        <v>463</v>
      </c>
      <c r="H68" s="48" t="s">
        <v>279</v>
      </c>
      <c r="I68" s="49">
        <f>IF(B68="", "", IF(OR(C68="", C68="—"), 0, IFNA(XLOOKUP(C68, DATA_UBER!A:A, DATA_UBER!Z:Z, 0), 0)))</f>
        <v>0</v>
      </c>
      <c r="J68" s="50">
        <f>IF(B68="", "", IF(OR(C68="", C68="—"), 0, IFNA(XLOOKUP(C68, DATA_UBER!A:A, DATA_UBER!J:J, 0), 0)))</f>
        <v>0</v>
      </c>
      <c r="K68" s="49">
        <f>IF(B68="", "", IF(OR(D68="", D68="—"), 0, IFNA(XLOOKUP(D68, DATA_BOLT!A:A, DATA_BOLT!Z:Z, 0), 0)))</f>
        <v>0</v>
      </c>
      <c r="L68" s="50">
        <f>IF(B68="", "", IF(OR(D68="", D68="—"), 0, IFNA(XLOOKUP(D68, DATA_BOLT!A:A, DATA_BOLT!G:G, 0), 0)))</f>
        <v>0</v>
      </c>
      <c r="M68" s="49">
        <f>IF(B68="", "", I68 + K68)</f>
        <v>0</v>
      </c>
      <c r="N68" s="49">
        <f>IF(B68="", "", IF(OR(I68&lt;&gt;0, K68&lt;&gt;0, J68&lt;&gt;0, L68&lt;&gt;0), IFNA(XLOOKUP(B68, ANNUAIRE_FLOTTE!B:B, ANNUAIRE_FLOTTE!J:J, 50), 50), 0))</f>
        <v>0</v>
      </c>
      <c r="O68" s="49">
        <v>0</v>
      </c>
      <c r="P68" s="49">
        <v>0</v>
      </c>
      <c r="Q68" s="49">
        <v>0</v>
      </c>
      <c r="R68" s="57">
        <f>IF(B68="", "", M68 - N68 - O68 - Q68 + P68)</f>
        <v>0</v>
      </c>
      <c r="S68" s="12" t="s">
        <v>279</v>
      </c>
    </row>
    <row r="69" ht="28" customHeight="1" spans="1:19" x14ac:dyDescent="0.25">
      <c r="A69" s="14" t="s">
        <v>464</v>
      </c>
      <c r="B69" s="15" t="s">
        <v>465</v>
      </c>
      <c r="C69" s="16" t="s">
        <v>465</v>
      </c>
      <c r="D69" s="16" t="s">
        <v>248</v>
      </c>
      <c r="E69" s="52" t="s">
        <v>466</v>
      </c>
      <c r="F69" s="52" t="s">
        <v>249</v>
      </c>
      <c r="G69" s="53" t="s">
        <v>250</v>
      </c>
      <c r="H69" s="53" t="s">
        <v>250</v>
      </c>
      <c r="I69" s="54">
        <f>IF(B69="", "", IF(OR(C69="", C69="—"), 0, IFNA(XLOOKUP(C69, DATA_UBER!A:A, DATA_UBER!Z:Z, 0), 0)))</f>
        <v>0</v>
      </c>
      <c r="J69" s="50">
        <f>IF(B69="", "", IF(OR(C69="", C69="—"), 0, IFNA(XLOOKUP(C69, DATA_UBER!A:A, DATA_UBER!J:J, 0), 0)))</f>
        <v>0</v>
      </c>
      <c r="K69" s="54">
        <f>IF(B69="", "", IF(OR(D69="", D69="—"), 0, IFNA(XLOOKUP(D69, DATA_BOLT!A:A, DATA_BOLT!Z:Z, 0), 0)))</f>
        <v>5</v>
      </c>
      <c r="L69" s="50">
        <f>IF(B69="", "", IF(OR(D69="", D69="—"), 0, IFNA(XLOOKUP(D69, DATA_BOLT!A:A, DATA_BOLT!G:G, 0), 0)))</f>
        <v>33.4</v>
      </c>
      <c r="M69" s="54">
        <f>IF(B69="", "", I69 + K69)</f>
        <v>5</v>
      </c>
      <c r="N69" s="54">
        <f>IF(B69="", "", IF(OR(I69&lt;&gt;0, K69&lt;&gt;0, J69&lt;&gt;0, L69&lt;&gt;0), IFNA(XLOOKUP(B69, ANNUAIRE_FLOTTE!B:B, ANNUAIRE_FLOTTE!J:J, 50), 50), 0))</f>
        <v>50</v>
      </c>
      <c r="O69" s="54">
        <v>0</v>
      </c>
      <c r="P69" s="54">
        <v>0</v>
      </c>
      <c r="Q69" s="54">
        <v>0</v>
      </c>
      <c r="R69" s="51">
        <f>IF(B69="", "", M69 - N69 - O69 - Q69 + P69)</f>
        <v>-45</v>
      </c>
      <c r="S69" s="18" t="s">
        <v>279</v>
      </c>
    </row>
    <row r="70" ht="28" customHeight="1" spans="1:19" x14ac:dyDescent="0.25">
      <c r="A70" s="8" t="s">
        <v>467</v>
      </c>
      <c r="B70" s="9" t="s">
        <v>468</v>
      </c>
      <c r="C70" s="10" t="s">
        <v>26</v>
      </c>
      <c r="D70" s="10" t="s">
        <v>252</v>
      </c>
      <c r="E70" s="47" t="s">
        <v>469</v>
      </c>
      <c r="F70" s="47" t="s">
        <v>253</v>
      </c>
      <c r="G70" s="48" t="s">
        <v>470</v>
      </c>
      <c r="H70" s="48" t="s">
        <v>254</v>
      </c>
      <c r="I70" s="49">
        <f>IF(B70="", "", IF(OR(C70="", C70="—"), 0, IFNA(XLOOKUP(C70, DATA_UBER!A:A, DATA_UBER!Z:Z, 0), 0)))</f>
        <v>53.77</v>
      </c>
      <c r="J70" s="50">
        <f>IF(B70="", "", IF(OR(C70="", C70="—"), 0, IFNA(XLOOKUP(C70, DATA_UBER!A:A, DATA_UBER!J:J, 0), 0)))</f>
        <v>0</v>
      </c>
      <c r="K70" s="49">
        <f>IF(B70="", "", IF(OR(D70="", D70="—"), 0, IFNA(XLOOKUP(D70, DATA_BOLT!A:A, DATA_BOLT!Z:Z, 0), 0)))</f>
        <v>166.79</v>
      </c>
      <c r="L70" s="50">
        <f>IF(B70="", "", IF(OR(D70="", D70="—"), 0, IFNA(XLOOKUP(D70, DATA_BOLT!A:A, DATA_BOLT!G:G, 0), 0)))</f>
        <v>166.4</v>
      </c>
      <c r="M70" s="49">
        <f>IF(B70="", "", I70 + K70)</f>
        <v>220.56</v>
      </c>
      <c r="N70" s="49">
        <f>IF(B70="", "", IF(OR(I70&lt;&gt;0, K70&lt;&gt;0, J70&lt;&gt;0, L70&lt;&gt;0), IFNA(XLOOKUP(B70, ANNUAIRE_FLOTTE!B:B, ANNUAIRE_FLOTTE!J:J, 50), 50), 0))</f>
        <v>50</v>
      </c>
      <c r="O70" s="49">
        <v>0</v>
      </c>
      <c r="P70" s="49">
        <v>0</v>
      </c>
      <c r="Q70" s="49">
        <v>0</v>
      </c>
      <c r="R70" s="55">
        <f>IF(B70="", "", M70 - N70 - O70 - Q70 + P70)</f>
        <v>170.56</v>
      </c>
      <c r="S70" s="58" t="s">
        <v>471</v>
      </c>
    </row>
    <row r="71" ht="28" customHeight="1" spans="1:19" x14ac:dyDescent="0.25">
      <c r="A71" s="14" t="s">
        <v>472</v>
      </c>
      <c r="B71" s="15" t="s">
        <v>73</v>
      </c>
      <c r="C71" s="16" t="s">
        <v>73</v>
      </c>
      <c r="D71" s="16" t="s">
        <v>73</v>
      </c>
      <c r="E71" s="52" t="s">
        <v>473</v>
      </c>
      <c r="F71" s="52" t="s">
        <v>474</v>
      </c>
      <c r="G71" s="53" t="s">
        <v>475</v>
      </c>
      <c r="H71" s="53" t="s">
        <v>476</v>
      </c>
      <c r="I71" s="54">
        <f>IF(B71="", "", IF(OR(C71="", C71="—"), 0, IFNA(XLOOKUP(C71, DATA_UBER!A:A, DATA_UBER!Z:Z, 0), 0)))</f>
        <v>103.01</v>
      </c>
      <c r="J71" s="50">
        <f>IF(B71="", "", IF(OR(C71="", C71="—"), 0, IFNA(XLOOKUP(C71, DATA_UBER!A:A, DATA_UBER!J:J, 0), 0)))</f>
        <v>0</v>
      </c>
      <c r="K71" s="54">
        <f>IF(B71="", "", IF(OR(D71="", D71="—"), 0, IFNA(XLOOKUP(D71, DATA_BOLT!A:A, DATA_BOLT!Z:Z, 0), 0)))</f>
        <v>0</v>
      </c>
      <c r="L71" s="50">
        <f>IF(B71="", "", IF(OR(D71="", D71="—"), 0, IFNA(XLOOKUP(D71, DATA_BOLT!A:A, DATA_BOLT!G:G, 0), 0)))</f>
        <v>0</v>
      </c>
      <c r="M71" s="54">
        <f>IF(B71="", "", I71 + K71)</f>
        <v>103.01</v>
      </c>
      <c r="N71" s="54">
        <f>IF(B71="", "", IF(OR(I71&lt;&gt;0, K71&lt;&gt;0, J71&lt;&gt;0, L71&lt;&gt;0), IFNA(XLOOKUP(B71, ANNUAIRE_FLOTTE!B:B, ANNUAIRE_FLOTTE!J:J, 50), 50), 0))</f>
        <v>50</v>
      </c>
      <c r="O71" s="54">
        <v>0</v>
      </c>
      <c r="P71" s="54">
        <v>0</v>
      </c>
      <c r="Q71" s="54">
        <v>0</v>
      </c>
      <c r="R71" s="55">
        <f>IF(B71="", "", M71 - N71 - O71 - Q71 + P71)</f>
        <v>53.01</v>
      </c>
      <c r="S71" s="18" t="s">
        <v>279</v>
      </c>
    </row>
    <row r="72" ht="28" customHeight="1" spans="1:19" x14ac:dyDescent="0.25">
      <c r="A72" s="8" t="s">
        <v>477</v>
      </c>
      <c r="B72" s="9" t="s">
        <v>478</v>
      </c>
      <c r="C72" s="10" t="s">
        <v>279</v>
      </c>
      <c r="D72" s="10" t="s">
        <v>478</v>
      </c>
      <c r="E72" s="47" t="s">
        <v>279</v>
      </c>
      <c r="F72" s="47" t="s">
        <v>479</v>
      </c>
      <c r="G72" s="48" t="s">
        <v>279</v>
      </c>
      <c r="H72" s="48" t="s">
        <v>480</v>
      </c>
      <c r="I72" s="49">
        <f>IF(B72="", "", IF(OR(C72="", C72="—"), 0, IFNA(XLOOKUP(C72, DATA_UBER!A:A, DATA_UBER!Z:Z, 0), 0)))</f>
        <v>0</v>
      </c>
      <c r="J72" s="50">
        <f>IF(B72="", "", IF(OR(C72="", C72="—"), 0, IFNA(XLOOKUP(C72, DATA_UBER!A:A, DATA_UBER!J:J, 0), 0)))</f>
        <v>0</v>
      </c>
      <c r="K72" s="49">
        <f>IF(B72="", "", IF(OR(D72="", D72="—"), 0, IFNA(XLOOKUP(D72, DATA_BOLT!A:A, DATA_BOLT!Z:Z, 0), 0)))</f>
        <v>0</v>
      </c>
      <c r="L72" s="50">
        <f>IF(B72="", "", IF(OR(D72="", D72="—"), 0, IFNA(XLOOKUP(D72, DATA_BOLT!A:A, DATA_BOLT!G:G, 0), 0)))</f>
        <v>0</v>
      </c>
      <c r="M72" s="49">
        <f>IF(B72="", "", I72 + K72)</f>
        <v>0</v>
      </c>
      <c r="N72" s="49">
        <f>IF(B72="", "", IF(OR(I72&lt;&gt;0, K72&lt;&gt;0, J72&lt;&gt;0, L72&lt;&gt;0), IFNA(XLOOKUP(B72, ANNUAIRE_FLOTTE!B:B, ANNUAIRE_FLOTTE!J:J, 50), 50), 0))</f>
        <v>0</v>
      </c>
      <c r="O72" s="49">
        <v>0</v>
      </c>
      <c r="P72" s="49">
        <v>0</v>
      </c>
      <c r="Q72" s="49">
        <v>0</v>
      </c>
      <c r="R72" s="57">
        <f>IF(B72="", "", M72 - N72 - O72 - Q72 + P72)</f>
        <v>0</v>
      </c>
      <c r="S72" s="12" t="s">
        <v>279</v>
      </c>
    </row>
    <row r="73" ht="28" customHeight="1" spans="1:19" x14ac:dyDescent="0.25">
      <c r="A73" s="14" t="s">
        <v>481</v>
      </c>
      <c r="B73" s="15" t="s">
        <v>79</v>
      </c>
      <c r="C73" s="16" t="s">
        <v>79</v>
      </c>
      <c r="D73" s="16" t="s">
        <v>79</v>
      </c>
      <c r="E73" s="52" t="s">
        <v>256</v>
      </c>
      <c r="F73" s="52" t="s">
        <v>256</v>
      </c>
      <c r="G73" s="53" t="s">
        <v>257</v>
      </c>
      <c r="H73" s="53" t="s">
        <v>257</v>
      </c>
      <c r="I73" s="54">
        <f>IF(B73="", "", IF(OR(C73="", C73="—"), 0, IFNA(XLOOKUP(C73, DATA_UBER!A:A, DATA_UBER!Z:Z, 0), 0)))</f>
        <v>21.03</v>
      </c>
      <c r="J73" s="50">
        <f>IF(B73="", "", IF(OR(C73="", C73="—"), 0, IFNA(XLOOKUP(C73, DATA_UBER!A:A, DATA_UBER!J:J, 0), 0)))</f>
        <v>0</v>
      </c>
      <c r="K73" s="54">
        <f>IF(B73="", "", IF(OR(D73="", D73="—"), 0, IFNA(XLOOKUP(D73, DATA_BOLT!A:A, DATA_BOLT!Z:Z, 0), 0)))</f>
        <v>104.68</v>
      </c>
      <c r="L73" s="50">
        <f>IF(B73="", "", IF(OR(D73="", D73="—"), 0, IFNA(XLOOKUP(D73, DATA_BOLT!A:A, DATA_BOLT!G:G, 0), 0)))</f>
        <v>54</v>
      </c>
      <c r="M73" s="54">
        <f>IF(B73="", "", I73 + K73)</f>
        <v>125.71</v>
      </c>
      <c r="N73" s="54">
        <f>IF(B73="", "", IF(OR(I73&lt;&gt;0, K73&lt;&gt;0, J73&lt;&gt;0, L73&lt;&gt;0), IFNA(XLOOKUP(B73, ANNUAIRE_FLOTTE!B:B, ANNUAIRE_FLOTTE!J:J, 50), 50), 0))</f>
        <v>50</v>
      </c>
      <c r="O73" s="54">
        <v>0</v>
      </c>
      <c r="P73" s="54">
        <v>0</v>
      </c>
      <c r="Q73" s="54">
        <v>0</v>
      </c>
      <c r="R73" s="55">
        <f>IF(B73="", "", M73 - N73 - O73 - Q73 + P73)</f>
        <v>75.71</v>
      </c>
      <c r="S73" s="18" t="s">
        <v>279</v>
      </c>
    </row>
    <row r="74" ht="28" customHeight="1" spans="1:19" x14ac:dyDescent="0.25">
      <c r="A74" s="8" t="s">
        <v>482</v>
      </c>
      <c r="B74" s="9" t="s">
        <v>483</v>
      </c>
      <c r="C74" s="10" t="s">
        <v>94</v>
      </c>
      <c r="D74" s="10" t="s">
        <v>279</v>
      </c>
      <c r="E74" s="47" t="s">
        <v>484</v>
      </c>
      <c r="F74" s="47" t="s">
        <v>279</v>
      </c>
      <c r="G74" s="48" t="s">
        <v>485</v>
      </c>
      <c r="H74" s="48" t="s">
        <v>279</v>
      </c>
      <c r="I74" s="49">
        <f>IF(B74="", "", IF(OR(C74="", C74="—"), 0, IFNA(XLOOKUP(C74, DATA_UBER!A:A, DATA_UBER!Z:Z, 0), 0)))</f>
        <v>103.3</v>
      </c>
      <c r="J74" s="50">
        <f>IF(B74="", "", IF(OR(C74="", C74="—"), 0, IFNA(XLOOKUP(C74, DATA_UBER!A:A, DATA_UBER!J:J, 0), 0)))</f>
        <v>0</v>
      </c>
      <c r="K74" s="49">
        <f>IF(B74="", "", IF(OR(D74="", D74="—"), 0, IFNA(XLOOKUP(D74, DATA_BOLT!A:A, DATA_BOLT!Z:Z, 0), 0)))</f>
        <v>0</v>
      </c>
      <c r="L74" s="50">
        <f>IF(B74="", "", IF(OR(D74="", D74="—"), 0, IFNA(XLOOKUP(D74, DATA_BOLT!A:A, DATA_BOLT!G:G, 0), 0)))</f>
        <v>0</v>
      </c>
      <c r="M74" s="49">
        <f>IF(B74="", "", I74 + K74)</f>
        <v>103.3</v>
      </c>
      <c r="N74" s="49">
        <f>IF(B74="", "", IF(OR(I74&lt;&gt;0, K74&lt;&gt;0, J74&lt;&gt;0, L74&lt;&gt;0), IFNA(XLOOKUP(B74, ANNUAIRE_FLOTTE!B:B, ANNUAIRE_FLOTTE!J:J, 50), 50), 0))</f>
        <v>50</v>
      </c>
      <c r="O74" s="49">
        <v>0</v>
      </c>
      <c r="P74" s="49">
        <v>0</v>
      </c>
      <c r="Q74" s="49">
        <v>0</v>
      </c>
      <c r="R74" s="55">
        <f>IF(B74="", "", M74 - N74 - O74 - Q74 + P74)</f>
        <v>53.3</v>
      </c>
      <c r="S74" s="12" t="s">
        <v>279</v>
      </c>
    </row>
    <row r="75" ht="28" customHeight="1" spans="1:19" x14ac:dyDescent="0.25">
      <c r="A75" s="14" t="s">
        <v>486</v>
      </c>
      <c r="B75" s="15" t="s">
        <v>263</v>
      </c>
      <c r="C75" s="16" t="s">
        <v>40</v>
      </c>
      <c r="D75" s="16" t="s">
        <v>263</v>
      </c>
      <c r="E75" s="52" t="s">
        <v>487</v>
      </c>
      <c r="F75" s="52" t="s">
        <v>264</v>
      </c>
      <c r="G75" s="53" t="s">
        <v>265</v>
      </c>
      <c r="H75" s="53" t="s">
        <v>265</v>
      </c>
      <c r="I75" s="54">
        <f>IF(B75="", "", IF(OR(C75="", C75="—"), 0, IFNA(XLOOKUP(C75, DATA_UBER!A:A, DATA_UBER!Z:Z, 0), 0)))</f>
        <v>59</v>
      </c>
      <c r="J75" s="50">
        <f>IF(B75="", "", IF(OR(C75="", C75="—"), 0, IFNA(XLOOKUP(C75, DATA_UBER!A:A, DATA_UBER!J:J, 0), 0)))</f>
        <v>0</v>
      </c>
      <c r="K75" s="54">
        <f>IF(B75="", "", IF(OR(D75="", D75="—"), 0, IFNA(XLOOKUP(D75, DATA_BOLT!A:A, DATA_BOLT!Z:Z, 0), 0)))</f>
        <v>649.12</v>
      </c>
      <c r="L75" s="50">
        <f>IF(B75="", "", IF(OR(D75="", D75="—"), 0, IFNA(XLOOKUP(D75, DATA_BOLT!A:A, DATA_BOLT!G:G, 0), 0)))</f>
        <v>0</v>
      </c>
      <c r="M75" s="54">
        <f>IF(B75="", "", I75 + K75)</f>
        <v>708.12</v>
      </c>
      <c r="N75" s="54">
        <f>IF(B75="", "", IF(OR(I75&lt;&gt;0, K75&lt;&gt;0, J75&lt;&gt;0, L75&lt;&gt;0), IFNA(XLOOKUP(B75, ANNUAIRE_FLOTTE!B:B, ANNUAIRE_FLOTTE!J:J, 50), 50), 0))</f>
        <v>50</v>
      </c>
      <c r="O75" s="54">
        <v>0</v>
      </c>
      <c r="P75" s="54">
        <v>0</v>
      </c>
      <c r="Q75" s="54">
        <v>0</v>
      </c>
      <c r="R75" s="55">
        <f>IF(B75="", "", M75 - N75 - O75 - Q75 + P75)</f>
        <v>658.12</v>
      </c>
      <c r="S75" s="18" t="s">
        <v>279</v>
      </c>
    </row>
    <row r="76" ht="28" customHeight="1" spans="1:19" x14ac:dyDescent="0.25">
      <c r="A76" s="8" t="s">
        <v>488</v>
      </c>
      <c r="B76" s="9" t="s">
        <v>148</v>
      </c>
      <c r="C76" s="10" t="s">
        <v>148</v>
      </c>
      <c r="D76" s="10" t="s">
        <v>148</v>
      </c>
      <c r="E76" s="47" t="s">
        <v>149</v>
      </c>
      <c r="F76" s="47" t="s">
        <v>149</v>
      </c>
      <c r="G76" s="48" t="s">
        <v>150</v>
      </c>
      <c r="H76" s="48" t="s">
        <v>150</v>
      </c>
      <c r="I76" s="49">
        <f>IF(B76="", "", IF(OR(C76="", C76="—"), 0, IFNA(XLOOKUP(C76, DATA_UBER!A:A, DATA_UBER!Z:Z, 0), 0)))</f>
        <v>0</v>
      </c>
      <c r="J76" s="50">
        <f>IF(B76="", "", IF(OR(C76="", C76="—"), 0, IFNA(XLOOKUP(C76, DATA_UBER!A:A, DATA_UBER!J:J, 0), 0)))</f>
        <v>0</v>
      </c>
      <c r="K76" s="49">
        <f>IF(B76="", "", IF(OR(D76="", D76="—"), 0, IFNA(XLOOKUP(D76, DATA_BOLT!A:A, DATA_BOLT!Z:Z, 0), 0)))</f>
        <v>268.03</v>
      </c>
      <c r="L76" s="50">
        <f>IF(B76="", "", IF(OR(D76="", D76="—"), 0, IFNA(XLOOKUP(D76, DATA_BOLT!A:A, DATA_BOLT!G:G, 0), 0)))</f>
        <v>0</v>
      </c>
      <c r="M76" s="49">
        <f>IF(B76="", "", I76 + K76)</f>
        <v>268.03</v>
      </c>
      <c r="N76" s="49">
        <f>IF(B76="", "", IF(OR(I76&lt;&gt;0, K76&lt;&gt;0, J76&lt;&gt;0, L76&lt;&gt;0), IFNA(XLOOKUP(B76, ANNUAIRE_FLOTTE!B:B, ANNUAIRE_FLOTTE!J:J, 50), 50), 0))</f>
        <v>40</v>
      </c>
      <c r="O76" s="49">
        <v>0</v>
      </c>
      <c r="P76" s="49">
        <v>0</v>
      </c>
      <c r="Q76" s="49">
        <v>0</v>
      </c>
      <c r="R76" s="55">
        <f>IF(B76="", "", M76 - N76 - O76 - Q76 + P76)</f>
        <v>228.03</v>
      </c>
      <c r="S76" s="12" t="s">
        <v>279</v>
      </c>
    </row>
    <row r="77" ht="28" customHeight="1" spans="1:19" x14ac:dyDescent="0.25">
      <c r="A77" s="14" t="s">
        <v>489</v>
      </c>
      <c r="B77" s="15" t="s">
        <v>490</v>
      </c>
      <c r="C77" s="16" t="s">
        <v>490</v>
      </c>
      <c r="D77" s="16" t="s">
        <v>491</v>
      </c>
      <c r="E77" s="52" t="s">
        <v>492</v>
      </c>
      <c r="F77" s="52" t="s">
        <v>493</v>
      </c>
      <c r="G77" s="53" t="s">
        <v>494</v>
      </c>
      <c r="H77" s="53" t="s">
        <v>494</v>
      </c>
      <c r="I77" s="54">
        <f>IF(B77="", "", IF(OR(C77="", C77="—"), 0, IFNA(XLOOKUP(C77, DATA_UBER!A:A, DATA_UBER!Z:Z, 0), 0)))</f>
        <v>0</v>
      </c>
      <c r="J77" s="50">
        <f>IF(B77="", "", IF(OR(C77="", C77="—"), 0, IFNA(XLOOKUP(C77, DATA_UBER!A:A, DATA_UBER!J:J, 0), 0)))</f>
        <v>0</v>
      </c>
      <c r="K77" s="54">
        <f>IF(B77="", "", IF(OR(D77="", D77="—"), 0, IFNA(XLOOKUP(D77, DATA_BOLT!A:A, DATA_BOLT!Z:Z, 0), 0)))</f>
        <v>0</v>
      </c>
      <c r="L77" s="50">
        <f>IF(B77="", "", IF(OR(D77="", D77="—"), 0, IFNA(XLOOKUP(D77, DATA_BOLT!A:A, DATA_BOLT!G:G, 0), 0)))</f>
        <v>0</v>
      </c>
      <c r="M77" s="54">
        <f>IF(B77="", "", I77 + K77)</f>
        <v>0</v>
      </c>
      <c r="N77" s="54">
        <f>IF(B77="", "", IF(OR(I77&lt;&gt;0, K77&lt;&gt;0, J77&lt;&gt;0, L77&lt;&gt;0), IFNA(XLOOKUP(B77, ANNUAIRE_FLOTTE!B:B, ANNUAIRE_FLOTTE!J:J, 50), 50), 0))</f>
        <v>0</v>
      </c>
      <c r="O77" s="54">
        <v>0</v>
      </c>
      <c r="P77" s="54">
        <v>0</v>
      </c>
      <c r="Q77" s="54">
        <v>0</v>
      </c>
      <c r="R77" s="56">
        <f>IF(B77="", "", M77 - N77 - O77 - Q77 + P77)</f>
        <v>0</v>
      </c>
      <c r="S77" s="18" t="s">
        <v>279</v>
      </c>
    </row>
    <row r="78" ht="28" customHeight="1" spans="1:19" x14ac:dyDescent="0.25">
      <c r="A78" s="8" t="s">
        <v>495</v>
      </c>
      <c r="B78" s="9" t="s">
        <v>496</v>
      </c>
      <c r="C78" s="10" t="s">
        <v>496</v>
      </c>
      <c r="D78" s="10" t="s">
        <v>496</v>
      </c>
      <c r="E78" s="47" t="s">
        <v>497</v>
      </c>
      <c r="F78" s="47" t="s">
        <v>498</v>
      </c>
      <c r="G78" s="48" t="s">
        <v>499</v>
      </c>
      <c r="H78" s="48" t="s">
        <v>500</v>
      </c>
      <c r="I78" s="49">
        <f>IF(B78="", "", IF(OR(C78="", C78="—"), 0, IFNA(XLOOKUP(C78, DATA_UBER!A:A, DATA_UBER!Z:Z, 0), 0)))</f>
        <v>0</v>
      </c>
      <c r="J78" s="50">
        <f>IF(B78="", "", IF(OR(C78="", C78="—"), 0, IFNA(XLOOKUP(C78, DATA_UBER!A:A, DATA_UBER!J:J, 0), 0)))</f>
        <v>0</v>
      </c>
      <c r="K78" s="49">
        <f>IF(B78="", "", IF(OR(D78="", D78="—"), 0, IFNA(XLOOKUP(D78, DATA_BOLT!A:A, DATA_BOLT!Z:Z, 0), 0)))</f>
        <v>0</v>
      </c>
      <c r="L78" s="50">
        <f>IF(B78="", "", IF(OR(D78="", D78="—"), 0, IFNA(XLOOKUP(D78, DATA_BOLT!A:A, DATA_BOLT!G:G, 0), 0)))</f>
        <v>0</v>
      </c>
      <c r="M78" s="49">
        <f>IF(B78="", "", I78 + K78)</f>
        <v>0</v>
      </c>
      <c r="N78" s="49">
        <f>IF(B78="", "", IF(OR(I78&lt;&gt;0, K78&lt;&gt;0, J78&lt;&gt;0, L78&lt;&gt;0), IFNA(XLOOKUP(B78, ANNUAIRE_FLOTTE!B:B, ANNUAIRE_FLOTTE!J:J, 50), 50), 0))</f>
        <v>0</v>
      </c>
      <c r="O78" s="49">
        <v>0</v>
      </c>
      <c r="P78" s="49">
        <v>0</v>
      </c>
      <c r="Q78" s="49">
        <v>0</v>
      </c>
      <c r="R78" s="57">
        <f>IF(B78="", "", M78 - N78 - O78 - Q78 + P78)</f>
        <v>0</v>
      </c>
      <c r="S78" s="12" t="s">
        <v>279</v>
      </c>
    </row>
    <row r="79" ht="28" customHeight="1" spans="1:19" x14ac:dyDescent="0.25">
      <c r="A79" s="14" t="s">
        <v>501</v>
      </c>
      <c r="B79" s="15" t="s">
        <v>502</v>
      </c>
      <c r="C79" s="16" t="s">
        <v>502</v>
      </c>
      <c r="D79" s="16" t="s">
        <v>502</v>
      </c>
      <c r="E79" s="52" t="s">
        <v>503</v>
      </c>
      <c r="F79" s="52" t="s">
        <v>503</v>
      </c>
      <c r="G79" s="53" t="s">
        <v>504</v>
      </c>
      <c r="H79" s="53" t="s">
        <v>504</v>
      </c>
      <c r="I79" s="54">
        <f>IF(B79="", "", IF(OR(C79="", C79="—"), 0, IFNA(XLOOKUP(C79, DATA_UBER!A:A, DATA_UBER!Z:Z, 0), 0)))</f>
        <v>0</v>
      </c>
      <c r="J79" s="50">
        <f>IF(B79="", "", IF(OR(C79="", C79="—"), 0, IFNA(XLOOKUP(C79, DATA_UBER!A:A, DATA_UBER!J:J, 0), 0)))</f>
        <v>0</v>
      </c>
      <c r="K79" s="54">
        <f>IF(B79="", "", IF(OR(D79="", D79="—"), 0, IFNA(XLOOKUP(D79, DATA_BOLT!A:A, DATA_BOLT!Z:Z, 0), 0)))</f>
        <v>0</v>
      </c>
      <c r="L79" s="50">
        <f>IF(B79="", "", IF(OR(D79="", D79="—"), 0, IFNA(XLOOKUP(D79, DATA_BOLT!A:A, DATA_BOLT!G:G, 0), 0)))</f>
        <v>0</v>
      </c>
      <c r="M79" s="54">
        <f>IF(B79="", "", I79 + K79)</f>
        <v>0</v>
      </c>
      <c r="N79" s="54">
        <f>IF(B79="", "", IF(OR(I79&lt;&gt;0, K79&lt;&gt;0, J79&lt;&gt;0, L79&lt;&gt;0), IFNA(XLOOKUP(B79, ANNUAIRE_FLOTTE!B:B, ANNUAIRE_FLOTTE!J:J, 50), 50), 0))</f>
        <v>0</v>
      </c>
      <c r="O79" s="54">
        <v>0</v>
      </c>
      <c r="P79" s="54">
        <v>0</v>
      </c>
      <c r="Q79" s="54">
        <v>0</v>
      </c>
      <c r="R79" s="56">
        <f>IF(B79="", "", M79 - N79 - O79 - Q79 + P79)</f>
        <v>0</v>
      </c>
      <c r="S79" s="18" t="s">
        <v>279</v>
      </c>
    </row>
    <row r="80" ht="28" customHeight="1" spans="1:19" x14ac:dyDescent="0.25">
      <c r="A80" s="8" t="s">
        <v>505</v>
      </c>
      <c r="B80" s="9" t="s">
        <v>506</v>
      </c>
      <c r="C80" s="10" t="s">
        <v>506</v>
      </c>
      <c r="D80" s="10" t="s">
        <v>506</v>
      </c>
      <c r="E80" s="47" t="s">
        <v>507</v>
      </c>
      <c r="F80" s="47" t="s">
        <v>507</v>
      </c>
      <c r="G80" s="48" t="s">
        <v>508</v>
      </c>
      <c r="H80" s="48" t="s">
        <v>508</v>
      </c>
      <c r="I80" s="49">
        <f>IF(B80="", "", IF(OR(C80="", C80="—"), 0, IFNA(XLOOKUP(C80, DATA_UBER!A:A, DATA_UBER!Z:Z, 0), 0)))</f>
        <v>0</v>
      </c>
      <c r="J80" s="50">
        <f>IF(B80="", "", IF(OR(C80="", C80="—"), 0, IFNA(XLOOKUP(C80, DATA_UBER!A:A, DATA_UBER!J:J, 0), 0)))</f>
        <v>0</v>
      </c>
      <c r="K80" s="49">
        <f>IF(B80="", "", IF(OR(D80="", D80="—"), 0, IFNA(XLOOKUP(D80, DATA_BOLT!A:A, DATA_BOLT!Z:Z, 0), 0)))</f>
        <v>0</v>
      </c>
      <c r="L80" s="50">
        <f>IF(B80="", "", IF(OR(D80="", D80="—"), 0, IFNA(XLOOKUP(D80, DATA_BOLT!A:A, DATA_BOLT!G:G, 0), 0)))</f>
        <v>0</v>
      </c>
      <c r="M80" s="49">
        <f>IF(B80="", "", I80 + K80)</f>
        <v>0</v>
      </c>
      <c r="N80" s="49">
        <f>IF(B80="", "", IF(OR(I80&lt;&gt;0, K80&lt;&gt;0, J80&lt;&gt;0, L80&lt;&gt;0), IFNA(XLOOKUP(B80, ANNUAIRE_FLOTTE!B:B, ANNUAIRE_FLOTTE!J:J, 50), 50), 0))</f>
        <v>0</v>
      </c>
      <c r="O80" s="49">
        <v>0</v>
      </c>
      <c r="P80" s="49">
        <v>0</v>
      </c>
      <c r="Q80" s="49">
        <v>0</v>
      </c>
      <c r="R80" s="57">
        <f>IF(B80="", "", M80 - N80 - O80 - Q80 + P80)</f>
        <v>0</v>
      </c>
      <c r="S80" s="12" t="s">
        <v>279</v>
      </c>
    </row>
    <row r="81" ht="28" customHeight="1" spans="1:19" x14ac:dyDescent="0.25">
      <c r="A81" s="14" t="s">
        <v>509</v>
      </c>
      <c r="B81" s="15" t="s">
        <v>510</v>
      </c>
      <c r="C81" s="16" t="s">
        <v>510</v>
      </c>
      <c r="D81" s="16" t="s">
        <v>279</v>
      </c>
      <c r="E81" s="52" t="s">
        <v>511</v>
      </c>
      <c r="F81" s="52" t="s">
        <v>279</v>
      </c>
      <c r="G81" s="53" t="s">
        <v>512</v>
      </c>
      <c r="H81" s="53" t="s">
        <v>279</v>
      </c>
      <c r="I81" s="54">
        <f>IF(B81="", "", IF(OR(C81="", C81="—"), 0, IFNA(XLOOKUP(C81, DATA_UBER!A:A, DATA_UBER!Z:Z, 0), 0)))</f>
        <v>0</v>
      </c>
      <c r="J81" s="50">
        <f>IF(B81="", "", IF(OR(C81="", C81="—"), 0, IFNA(XLOOKUP(C81, DATA_UBER!A:A, DATA_UBER!J:J, 0), 0)))</f>
        <v>0</v>
      </c>
      <c r="K81" s="54">
        <f>IF(B81="", "", IF(OR(D81="", D81="—"), 0, IFNA(XLOOKUP(D81, DATA_BOLT!A:A, DATA_BOLT!Z:Z, 0), 0)))</f>
        <v>0</v>
      </c>
      <c r="L81" s="50">
        <f>IF(B81="", "", IF(OR(D81="", D81="—"), 0, IFNA(XLOOKUP(D81, DATA_BOLT!A:A, DATA_BOLT!G:G, 0), 0)))</f>
        <v>0</v>
      </c>
      <c r="M81" s="54">
        <f>IF(B81="", "", I81 + K81)</f>
        <v>0</v>
      </c>
      <c r="N81" s="54">
        <f>IF(B81="", "", IF(OR(I81&lt;&gt;0, K81&lt;&gt;0, J81&lt;&gt;0, L81&lt;&gt;0), IFNA(XLOOKUP(B81, ANNUAIRE_FLOTTE!B:B, ANNUAIRE_FLOTTE!J:J, 50), 50), 0))</f>
        <v>0</v>
      </c>
      <c r="O81" s="54">
        <v>0</v>
      </c>
      <c r="P81" s="54">
        <v>0</v>
      </c>
      <c r="Q81" s="54">
        <v>0</v>
      </c>
      <c r="R81" s="56">
        <f>IF(B81="", "", M81 - N81 - O81 - Q81 + P81)</f>
        <v>0</v>
      </c>
      <c r="S81" s="18" t="s">
        <v>279</v>
      </c>
    </row>
    <row r="82" ht="32" customHeight="1" spans="1:19" x14ac:dyDescent="0.25">
      <c r="A82" s="59" t="s">
        <v>546</v>
      </c>
      <c r="B82" s="59"/>
      <c r="C82" s="59"/>
      <c r="D82" s="59"/>
      <c r="E82" s="59"/>
      <c r="F82" s="59"/>
      <c r="G82" s="59"/>
      <c r="H82" s="59"/>
      <c r="I82" s="60">
        <f>SUM(I10:I81)</f>
        <v>1944.97</v>
      </c>
      <c r="J82" s="61">
        <f>SUM(J10:J81)</f>
        <v>174.54</v>
      </c>
      <c r="K82" s="60">
        <f>SUM(K10:K81)</f>
        <v>8018.36</v>
      </c>
      <c r="L82" s="61">
        <f>SUM(L10:L81)</f>
        <v>4499.3</v>
      </c>
      <c r="M82" s="60">
        <f>SUM(M10:M81)</f>
        <v>9963.33</v>
      </c>
      <c r="N82" s="60">
        <f>SUM(N10:N81)</f>
        <v>2310</v>
      </c>
      <c r="O82" s="60">
        <f>SUM(O10:O81)</f>
        <v>0</v>
      </c>
      <c r="P82" s="60">
        <f>SUM(P10:P81)</f>
        <v>0</v>
      </c>
      <c r="Q82" s="60">
        <f>SUM(Q10:Q81)</f>
        <v>0</v>
      </c>
      <c r="R82" s="62">
        <f>SUM(R10:R81)</f>
        <v>7358.33</v>
      </c>
      <c r="S82" s="63"/>
    </row>
  </sheetData>
  <mergeCells count="17">
    <mergeCell ref="B1:S1"/>
    <mergeCell ref="B2:S2"/>
    <mergeCell ref="B4:D4"/>
    <mergeCell ref="F4:H4"/>
    <mergeCell ref="J4:L4"/>
    <mergeCell ref="N4:P4"/>
    <mergeCell ref="B5:D5"/>
    <mergeCell ref="F5:H5"/>
    <mergeCell ref="J5:L5"/>
    <mergeCell ref="N5:P5"/>
    <mergeCell ref="A8:B8"/>
    <mergeCell ref="C8:D8"/>
    <mergeCell ref="E8:H8"/>
    <mergeCell ref="I8:J8"/>
    <mergeCell ref="K8:L8"/>
    <mergeCell ref="N8:Q8"/>
    <mergeCell ref="A82:H8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/>
  </sheetViews>
  <sheetFormatPr defaultRowHeight="15" outlineLevelRow="0" outlineLevelCol="0" x14ac:dyDescent="55"/>
  <cols>
    <col min="1" max="1" width="28" customWidth="1"/>
    <col min="2" max="2" width="34" customWidth="1"/>
    <col min="3" max="3" width="16" customWidth="1"/>
    <col min="4" max="4" width="12" customWidth="1"/>
    <col min="5" max="5" width="36" customWidth="1"/>
  </cols>
  <sheetData>
    <row r="1" ht="28" customHeight="1" spans="1:5" x14ac:dyDescent="0.25">
      <c r="A1" s="64" t="s">
        <v>547</v>
      </c>
      <c r="B1" s="64" t="s">
        <v>548</v>
      </c>
      <c r="C1" s="64" t="s">
        <v>549</v>
      </c>
      <c r="D1" s="64" t="s">
        <v>550</v>
      </c>
      <c r="E1" s="64" t="s">
        <v>551</v>
      </c>
    </row>
    <row r="2" ht="24" customHeight="1" spans="1:5" x14ac:dyDescent="0.25">
      <c r="A2" s="65" t="str">
        <f>IF(DASHBOARD_SEMAINE!B10="", "", DASHBOARD_SEMAINE!B10)</f>
        <v>Abdallah Hamzi</v>
      </c>
      <c r="B2" s="66" t="str">
        <f>IF(DASHBOARD_SEMAINE!B10="", "", DASHBOARD_SEMAINE!S10)</f>
        <v/>
      </c>
      <c r="C2" s="67" t="str">
        <f>IF(OR(DASHBOARD_SEMAINE!B10="", DASHBOARD_SEMAINE!R10&lt;=0), "", ROUND(DASHBOARD_SEMAINE!R10, 2))</f>
        <v/>
      </c>
      <c r="D2" s="68" t="str">
        <f>IF(DASHBOARD_SEMAINE!B10="", "", "EUR")</f>
        <v>EUR</v>
      </c>
      <c r="E2" s="3" t="str">
        <f>IF(DASHBOARD_SEMAINE!B10="", "", "Virement Semaine - " &amp; DASHBOARD_SEMAINE!B10)</f>
        <v>Virement Semaine - Abdallah Hamzi</v>
      </c>
    </row>
    <row r="3" ht="24" customHeight="1" spans="1:5" x14ac:dyDescent="0.25">
      <c r="A3" s="65" t="str">
        <f>IF(DASHBOARD_SEMAINE!B11="", "", DASHBOARD_SEMAINE!B11)</f>
        <v>Abdoul Azize Mohamed Safir</v>
      </c>
      <c r="B3" s="66" t="str">
        <f>IF(DASHBOARD_SEMAINE!B11="", "", DASHBOARD_SEMAINE!S11)</f>
        <v/>
      </c>
      <c r="C3" s="67">
        <f>IF(OR(DASHBOARD_SEMAINE!B11="", DASHBOARD_SEMAINE!R11&lt;=0), "", ROUND(DASHBOARD_SEMAINE!R11, 2))</f>
        <v>177.18</v>
      </c>
      <c r="D3" s="68" t="str">
        <f>IF(DASHBOARD_SEMAINE!B11="", "", "EUR")</f>
        <v>EUR</v>
      </c>
      <c r="E3" s="3" t="str">
        <f>IF(DASHBOARD_SEMAINE!B11="", "", "Virement Semaine - " &amp; DASHBOARD_SEMAINE!B11)</f>
        <v>Virement Semaine - Abdoul Azize Mohamed Safir</v>
      </c>
    </row>
    <row r="4" ht="24" customHeight="1" spans="1:5" x14ac:dyDescent="0.25">
      <c r="A4" s="65" t="str">
        <f>IF(DASHBOARD_SEMAINE!B12="", "", DASHBOARD_SEMAINE!B12)</f>
        <v>Bechir Ben Smida</v>
      </c>
      <c r="B4" s="66" t="str">
        <f>IF(DASHBOARD_SEMAINE!B12="", "", DASHBOARD_SEMAINE!S12)</f>
        <v/>
      </c>
      <c r="C4" s="67">
        <f>IF(OR(DASHBOARD_SEMAINE!B12="", DASHBOARD_SEMAINE!R12&lt;=0), "", ROUND(DASHBOARD_SEMAINE!R12, 2))</f>
        <v>112.02</v>
      </c>
      <c r="D4" s="68" t="str">
        <f>IF(DASHBOARD_SEMAINE!B12="", "", "EUR")</f>
        <v>EUR</v>
      </c>
      <c r="E4" s="3" t="str">
        <f>IF(DASHBOARD_SEMAINE!B12="", "", "Virement Semaine - " &amp; DASHBOARD_SEMAINE!B12)</f>
        <v>Virement Semaine - Bechir Ben Smida</v>
      </c>
    </row>
    <row r="5" ht="24" customHeight="1" spans="1:5" x14ac:dyDescent="0.25">
      <c r="A5" s="65" t="str">
        <f>IF(DASHBOARD_SEMAINE!B13="", "", DASHBOARD_SEMAINE!B13)</f>
        <v>Fathia Boufalgha</v>
      </c>
      <c r="B5" s="66" t="str">
        <f>IF(DASHBOARD_SEMAINE!B13="", "", DASHBOARD_SEMAINE!S13)</f>
        <v/>
      </c>
      <c r="C5" s="67" t="str">
        <f>IF(OR(DASHBOARD_SEMAINE!B13="", DASHBOARD_SEMAINE!R13&lt;=0), "", ROUND(DASHBOARD_SEMAINE!R13, 2))</f>
        <v/>
      </c>
      <c r="D5" s="68" t="str">
        <f>IF(DASHBOARD_SEMAINE!B13="", "", "EUR")</f>
        <v>EUR</v>
      </c>
      <c r="E5" s="3" t="str">
        <f>IF(DASHBOARD_SEMAINE!B13="", "", "Virement Semaine - " &amp; DASHBOARD_SEMAINE!B13)</f>
        <v>Virement Semaine - Fathia Boufalgha</v>
      </c>
    </row>
    <row r="6" ht="24" customHeight="1" spans="1:5" x14ac:dyDescent="0.25">
      <c r="A6" s="65" t="str">
        <f>IF(DASHBOARD_SEMAINE!B14="", "", DASHBOARD_SEMAINE!B14)</f>
        <v>Rachid Chinoune</v>
      </c>
      <c r="B6" s="66" t="str">
        <f>IF(DASHBOARD_SEMAINE!B14="", "", DASHBOARD_SEMAINE!S14)</f>
        <v/>
      </c>
      <c r="C6" s="67">
        <f>IF(OR(DASHBOARD_SEMAINE!B14="", DASHBOARD_SEMAINE!R14&lt;=0), "", ROUND(DASHBOARD_SEMAINE!R14, 2))</f>
        <v>69.47</v>
      </c>
      <c r="D6" s="68" t="str">
        <f>IF(DASHBOARD_SEMAINE!B14="", "", "EUR")</f>
        <v>EUR</v>
      </c>
      <c r="E6" s="3" t="str">
        <f>IF(DASHBOARD_SEMAINE!B14="", "", "Virement Semaine - " &amp; DASHBOARD_SEMAINE!B14)</f>
        <v>Virement Semaine - Rachid Chinoune</v>
      </c>
    </row>
    <row r="7" ht="24" customHeight="1" spans="1:5" x14ac:dyDescent="0.25">
      <c r="A7" s="65" t="str">
        <f>IF(DASHBOARD_SEMAINE!B15="", "", DASHBOARD_SEMAINE!B15)</f>
        <v>Salah Fitouri</v>
      </c>
      <c r="B7" s="66" t="str">
        <f>IF(DASHBOARD_SEMAINE!B15="", "", DASHBOARD_SEMAINE!S15)</f>
        <v/>
      </c>
      <c r="C7" s="67" t="str">
        <f>IF(OR(DASHBOARD_SEMAINE!B15="", DASHBOARD_SEMAINE!R15&lt;=0), "", ROUND(DASHBOARD_SEMAINE!R15, 2))</f>
        <v/>
      </c>
      <c r="D7" s="68" t="str">
        <f>IF(DASHBOARD_SEMAINE!B15="", "", "EUR")</f>
        <v>EUR</v>
      </c>
      <c r="E7" s="3" t="str">
        <f>IF(DASHBOARD_SEMAINE!B15="", "", "Virement Semaine - " &amp; DASHBOARD_SEMAINE!B15)</f>
        <v>Virement Semaine - Salah Fitouri</v>
      </c>
    </row>
    <row r="8" ht="24" customHeight="1" spans="1:5" x14ac:dyDescent="0.25">
      <c r="A8" s="65" t="str">
        <f>IF(DASHBOARD_SEMAINE!B16="", "", DASHBOARD_SEMAINE!B16)</f>
        <v>Bouchaib Belkharras</v>
      </c>
      <c r="B8" s="66" t="str">
        <f>IF(DASHBOARD_SEMAINE!B16="", "", DASHBOARD_SEMAINE!S16)</f>
        <v/>
      </c>
      <c r="C8" s="67">
        <f>IF(OR(DASHBOARD_SEMAINE!B16="", DASHBOARD_SEMAINE!R16&lt;=0), "", ROUND(DASHBOARD_SEMAINE!R16, 2))</f>
        <v>290.58</v>
      </c>
      <c r="D8" s="68" t="str">
        <f>IF(DASHBOARD_SEMAINE!B16="", "", "EUR")</f>
        <v>EUR</v>
      </c>
      <c r="E8" s="3" t="str">
        <f>IF(DASHBOARD_SEMAINE!B16="", "", "Virement Semaine - " &amp; DASHBOARD_SEMAINE!B16)</f>
        <v>Virement Semaine - Bouchaib Belkharras</v>
      </c>
    </row>
    <row r="9" ht="24" customHeight="1" spans="1:5" x14ac:dyDescent="0.25">
      <c r="A9" s="65" t="str">
        <f>IF(DASHBOARD_SEMAINE!B17="", "", DASHBOARD_SEMAINE!B17)</f>
        <v>Brandon Jean Jimmy Louissaint</v>
      </c>
      <c r="B9" s="66" t="str">
        <f>IF(DASHBOARD_SEMAINE!B17="", "", DASHBOARD_SEMAINE!S17)</f>
        <v/>
      </c>
      <c r="C9" s="67">
        <f>IF(OR(DASHBOARD_SEMAINE!B17="", DASHBOARD_SEMAINE!R17&lt;=0), "", ROUND(DASHBOARD_SEMAINE!R17, 2))</f>
        <v>270.54</v>
      </c>
      <c r="D9" s="68" t="str">
        <f>IF(DASHBOARD_SEMAINE!B17="", "", "EUR")</f>
        <v>EUR</v>
      </c>
      <c r="E9" s="3" t="str">
        <f>IF(DASHBOARD_SEMAINE!B17="", "", "Virement Semaine - " &amp; DASHBOARD_SEMAINE!B17)</f>
        <v>Virement Semaine - Brandon Jean Jimmy Louissaint</v>
      </c>
    </row>
    <row r="10" ht="24" customHeight="1" spans="1:5" x14ac:dyDescent="0.25">
      <c r="A10" s="65" t="str">
        <f>IF(DASHBOARD_SEMAINE!B18="", "", DASHBOARD_SEMAINE!B18)</f>
        <v>Farid Adkhis</v>
      </c>
      <c r="B10" s="66" t="str">
        <f>IF(DASHBOARD_SEMAINE!B18="", "", DASHBOARD_SEMAINE!S18)</f>
        <v/>
      </c>
      <c r="C10" s="67" t="str">
        <f>IF(OR(DASHBOARD_SEMAINE!B18="", DASHBOARD_SEMAINE!R18&lt;=0), "", ROUND(DASHBOARD_SEMAINE!R18, 2))</f>
        <v/>
      </c>
      <c r="D10" s="68" t="str">
        <f>IF(DASHBOARD_SEMAINE!B18="", "", "EUR")</f>
        <v>EUR</v>
      </c>
      <c r="E10" s="3" t="str">
        <f>IF(DASHBOARD_SEMAINE!B18="", "", "Virement Semaine - " &amp; DASHBOARD_SEMAINE!B18)</f>
        <v>Virement Semaine - Farid Adkhis</v>
      </c>
    </row>
    <row r="11" ht="24" customHeight="1" spans="1:5" x14ac:dyDescent="0.25">
      <c r="A11" s="65" t="str">
        <f>IF(DASHBOARD_SEMAINE!B19="", "", DASHBOARD_SEMAINE!B19)</f>
        <v>Imane Sarraj</v>
      </c>
      <c r="B11" s="66" t="str">
        <f>IF(DASHBOARD_SEMAINE!B19="", "", DASHBOARD_SEMAINE!S19)</f>
        <v/>
      </c>
      <c r="C11" s="67">
        <f>IF(OR(DASHBOARD_SEMAINE!B19="", DASHBOARD_SEMAINE!R19&lt;=0), "", ROUND(DASHBOARD_SEMAINE!R19, 2))</f>
        <v>281.91</v>
      </c>
      <c r="D11" s="68" t="str">
        <f>IF(DASHBOARD_SEMAINE!B19="", "", "EUR")</f>
        <v>EUR</v>
      </c>
      <c r="E11" s="3" t="str">
        <f>IF(DASHBOARD_SEMAINE!B19="", "", "Virement Semaine - " &amp; DASHBOARD_SEMAINE!B19)</f>
        <v>Virement Semaine - Imane Sarraj</v>
      </c>
    </row>
    <row r="12" ht="24" customHeight="1" spans="1:5" x14ac:dyDescent="0.25">
      <c r="A12" s="65" t="str">
        <f>IF(DASHBOARD_SEMAINE!B20="", "", DASHBOARD_SEMAINE!B20)</f>
        <v>Mehmet Ergun</v>
      </c>
      <c r="B12" s="66" t="str">
        <f>IF(DASHBOARD_SEMAINE!B20="", "", DASHBOARD_SEMAINE!S20)</f>
        <v/>
      </c>
      <c r="C12" s="67">
        <f>IF(OR(DASHBOARD_SEMAINE!B20="", DASHBOARD_SEMAINE!R20&lt;=0), "", ROUND(DASHBOARD_SEMAINE!R20, 2))</f>
        <v>233.93</v>
      </c>
      <c r="D12" s="68" t="str">
        <f>IF(DASHBOARD_SEMAINE!B20="", "", "EUR")</f>
        <v>EUR</v>
      </c>
      <c r="E12" s="3" t="str">
        <f>IF(DASHBOARD_SEMAINE!B20="", "", "Virement Semaine - " &amp; DASHBOARD_SEMAINE!B20)</f>
        <v>Virement Semaine - Mehmet Ergun</v>
      </c>
    </row>
    <row r="13" ht="24" customHeight="1" spans="1:5" x14ac:dyDescent="0.25">
      <c r="A13" s="65" t="str">
        <f>IF(DASHBOARD_SEMAINE!B21="", "", DASHBOARD_SEMAINE!B21)</f>
        <v>Mohamed Aloui</v>
      </c>
      <c r="B13" s="66" t="str">
        <f>IF(DASHBOARD_SEMAINE!B21="", "", DASHBOARD_SEMAINE!S21)</f>
        <v/>
      </c>
      <c r="C13" s="67">
        <f>IF(OR(DASHBOARD_SEMAINE!B21="", DASHBOARD_SEMAINE!R21&lt;=0), "", ROUND(DASHBOARD_SEMAINE!R21, 2))</f>
        <v>491.91</v>
      </c>
      <c r="D13" s="68" t="str">
        <f>IF(DASHBOARD_SEMAINE!B21="", "", "EUR")</f>
        <v>EUR</v>
      </c>
      <c r="E13" s="3" t="str">
        <f>IF(DASHBOARD_SEMAINE!B21="", "", "Virement Semaine - " &amp; DASHBOARD_SEMAINE!B21)</f>
        <v>Virement Semaine - Mohamed Aloui</v>
      </c>
    </row>
    <row r="14" ht="24" customHeight="1" spans="1:5" x14ac:dyDescent="0.25">
      <c r="A14" s="65" t="str">
        <f>IF(DASHBOARD_SEMAINE!B22="", "", DASHBOARD_SEMAINE!B22)</f>
        <v>Omar Chemkhi</v>
      </c>
      <c r="B14" s="66" t="str">
        <f>IF(DASHBOARD_SEMAINE!B22="", "", DASHBOARD_SEMAINE!S22)</f>
        <v/>
      </c>
      <c r="C14" s="67" t="str">
        <f>IF(OR(DASHBOARD_SEMAINE!B22="", DASHBOARD_SEMAINE!R22&lt;=0), "", ROUND(DASHBOARD_SEMAINE!R22, 2))</f>
        <v/>
      </c>
      <c r="D14" s="68" t="str">
        <f>IF(DASHBOARD_SEMAINE!B22="", "", "EUR")</f>
        <v>EUR</v>
      </c>
      <c r="E14" s="3" t="str">
        <f>IF(DASHBOARD_SEMAINE!B22="", "", "Virement Semaine - " &amp; DASHBOARD_SEMAINE!B22)</f>
        <v>Virement Semaine - Omar Chemkhi</v>
      </c>
    </row>
    <row r="15" ht="24" customHeight="1" spans="1:5" x14ac:dyDescent="0.25">
      <c r="A15" s="65" t="str">
        <f>IF(DASHBOARD_SEMAINE!B23="", "", DASHBOARD_SEMAINE!B23)</f>
        <v>Raoul Mansfeld Bemma</v>
      </c>
      <c r="B15" s="66" t="str">
        <f>IF(DASHBOARD_SEMAINE!B23="", "", DASHBOARD_SEMAINE!S23)</f>
        <v/>
      </c>
      <c r="C15" s="67" t="str">
        <f>IF(OR(DASHBOARD_SEMAINE!B23="", DASHBOARD_SEMAINE!R23&lt;=0), "", ROUND(DASHBOARD_SEMAINE!R23, 2))</f>
        <v/>
      </c>
      <c r="D15" s="68" t="str">
        <f>IF(DASHBOARD_SEMAINE!B23="", "", "EUR")</f>
        <v>EUR</v>
      </c>
      <c r="E15" s="3" t="str">
        <f>IF(DASHBOARD_SEMAINE!B23="", "", "Virement Semaine - " &amp; DASHBOARD_SEMAINE!B23)</f>
        <v>Virement Semaine - Raoul Mansfeld Bemma</v>
      </c>
    </row>
    <row r="16" ht="24" customHeight="1" spans="1:5" x14ac:dyDescent="0.25">
      <c r="A16" s="65" t="str">
        <f>IF(DASHBOARD_SEMAINE!B24="", "", DASHBOARD_SEMAINE!B24)</f>
        <v>Ratiba Beldjoudi</v>
      </c>
      <c r="B16" s="66" t="str">
        <f>IF(DASHBOARD_SEMAINE!B24="", "", DASHBOARD_SEMAINE!S24)</f>
        <v/>
      </c>
      <c r="C16" s="67">
        <f>IF(OR(DASHBOARD_SEMAINE!B24="", DASHBOARD_SEMAINE!R24&lt;=0), "", ROUND(DASHBOARD_SEMAINE!R24, 2))</f>
        <v>110.13</v>
      </c>
      <c r="D16" s="68" t="str">
        <f>IF(DASHBOARD_SEMAINE!B24="", "", "EUR")</f>
        <v>EUR</v>
      </c>
      <c r="E16" s="3" t="str">
        <f>IF(DASHBOARD_SEMAINE!B24="", "", "Virement Semaine - " &amp; DASHBOARD_SEMAINE!B24)</f>
        <v>Virement Semaine - Ratiba Beldjoudi</v>
      </c>
    </row>
    <row r="17" ht="24" customHeight="1" spans="1:5" x14ac:dyDescent="0.25">
      <c r="A17" s="65" t="str">
        <f>IF(DASHBOARD_SEMAINE!B25="", "", DASHBOARD_SEMAINE!B25)</f>
        <v>Zahia Guesri</v>
      </c>
      <c r="B17" s="66" t="str">
        <f>IF(DASHBOARD_SEMAINE!B25="", "", DASHBOARD_SEMAINE!S25)</f>
        <v/>
      </c>
      <c r="C17" s="67">
        <f>IF(OR(DASHBOARD_SEMAINE!B25="", DASHBOARD_SEMAINE!R25&lt;=0), "", ROUND(DASHBOARD_SEMAINE!R25, 2))</f>
        <v>82.12</v>
      </c>
      <c r="D17" s="68" t="str">
        <f>IF(DASHBOARD_SEMAINE!B25="", "", "EUR")</f>
        <v>EUR</v>
      </c>
      <c r="E17" s="3" t="str">
        <f>IF(DASHBOARD_SEMAINE!B25="", "", "Virement Semaine - " &amp; DASHBOARD_SEMAINE!B25)</f>
        <v>Virement Semaine - Zahia Guesri</v>
      </c>
    </row>
    <row r="18" ht="24" customHeight="1" spans="1:5" x14ac:dyDescent="0.25">
      <c r="A18" s="65" t="str">
        <f>IF(DASHBOARD_SEMAINE!B26="", "", DASHBOARD_SEMAINE!B26)</f>
        <v>Abdel Mouamane Chelaif</v>
      </c>
      <c r="B18" s="66" t="str">
        <f>IF(DASHBOARD_SEMAINE!B26="", "", DASHBOARD_SEMAINE!S26)</f>
        <v/>
      </c>
      <c r="C18" s="67" t="str">
        <f>IF(OR(DASHBOARD_SEMAINE!B26="", DASHBOARD_SEMAINE!R26&lt;=0), "", ROUND(DASHBOARD_SEMAINE!R26, 2))</f>
        <v/>
      </c>
      <c r="D18" s="68" t="str">
        <f>IF(DASHBOARD_SEMAINE!B26="", "", "EUR")</f>
        <v>EUR</v>
      </c>
      <c r="E18" s="3" t="str">
        <f>IF(DASHBOARD_SEMAINE!B26="", "", "Virement Semaine - " &amp; DASHBOARD_SEMAINE!B26)</f>
        <v>Virement Semaine - Abdel Mouamane Chelaif</v>
      </c>
    </row>
    <row r="19" ht="24" customHeight="1" spans="1:5" x14ac:dyDescent="0.25">
      <c r="A19" s="65" t="str">
        <f>IF(DASHBOARD_SEMAINE!B27="", "", DASHBOARD_SEMAINE!B27)</f>
        <v>Abdelaziz Guerfi</v>
      </c>
      <c r="B19" s="66" t="str">
        <f>IF(DASHBOARD_SEMAINE!B27="", "", DASHBOARD_SEMAINE!S27)</f>
        <v/>
      </c>
      <c r="C19" s="67">
        <f>IF(OR(DASHBOARD_SEMAINE!B27="", DASHBOARD_SEMAINE!R27&lt;=0), "", ROUND(DASHBOARD_SEMAINE!R27, 2))</f>
        <v>120.09</v>
      </c>
      <c r="D19" s="68" t="str">
        <f>IF(DASHBOARD_SEMAINE!B27="", "", "EUR")</f>
        <v>EUR</v>
      </c>
      <c r="E19" s="3" t="str">
        <f>IF(DASHBOARD_SEMAINE!B27="", "", "Virement Semaine - " &amp; DASHBOARD_SEMAINE!B27)</f>
        <v>Virement Semaine - Abdelaziz Guerfi</v>
      </c>
    </row>
    <row r="20" ht="24" customHeight="1" spans="1:5" x14ac:dyDescent="0.25">
      <c r="A20" s="65" t="str">
        <f>IF(DASHBOARD_SEMAINE!B28="", "", DASHBOARD_SEMAINE!B28)</f>
        <v>Abdullah Kartal</v>
      </c>
      <c r="B20" s="66" t="str">
        <f>IF(DASHBOARD_SEMAINE!B28="", "", DASHBOARD_SEMAINE!S28)</f>
        <v/>
      </c>
      <c r="C20" s="67" t="str">
        <f>IF(OR(DASHBOARD_SEMAINE!B28="", DASHBOARD_SEMAINE!R28&lt;=0), "", ROUND(DASHBOARD_SEMAINE!R28, 2))</f>
        <v/>
      </c>
      <c r="D20" s="68" t="str">
        <f>IF(DASHBOARD_SEMAINE!B28="", "", "EUR")</f>
        <v>EUR</v>
      </c>
      <c r="E20" s="3" t="str">
        <f>IF(DASHBOARD_SEMAINE!B28="", "", "Virement Semaine - " &amp; DASHBOARD_SEMAINE!B28)</f>
        <v>Virement Semaine - Abdullah Kartal</v>
      </c>
    </row>
    <row r="21" ht="24" customHeight="1" spans="1:5" x14ac:dyDescent="0.25">
      <c r="A21" s="65" t="str">
        <f>IF(DASHBOARD_SEMAINE!B29="", "", DASHBOARD_SEMAINE!B29)</f>
        <v>Adam Machtou</v>
      </c>
      <c r="B21" s="66" t="str">
        <f>IF(DASHBOARD_SEMAINE!B29="", "", DASHBOARD_SEMAINE!S29)</f>
        <v/>
      </c>
      <c r="C21" s="67">
        <f>IF(OR(DASHBOARD_SEMAINE!B29="", DASHBOARD_SEMAINE!R29&lt;=0), "", ROUND(DASHBOARD_SEMAINE!R29, 2))</f>
        <v>87.12</v>
      </c>
      <c r="D21" s="68" t="str">
        <f>IF(DASHBOARD_SEMAINE!B29="", "", "EUR")</f>
        <v>EUR</v>
      </c>
      <c r="E21" s="3" t="str">
        <f>IF(DASHBOARD_SEMAINE!B29="", "", "Virement Semaine - " &amp; DASHBOARD_SEMAINE!B29)</f>
        <v>Virement Semaine - Adam Machtou</v>
      </c>
    </row>
    <row r="22" ht="24" customHeight="1" spans="1:5" x14ac:dyDescent="0.25">
      <c r="A22" s="65" t="str">
        <f>IF(DASHBOARD_SEMAINE!B30="", "", DASHBOARD_SEMAINE!B30)</f>
        <v>Adel Benabdelouahed</v>
      </c>
      <c r="B22" s="66" t="str">
        <f>IF(DASHBOARD_SEMAINE!B30="", "", DASHBOARD_SEMAINE!S30)</f>
        <v/>
      </c>
      <c r="C22" s="67">
        <f>IF(OR(DASHBOARD_SEMAINE!B30="", DASHBOARD_SEMAINE!R30&lt;=0), "", ROUND(DASHBOARD_SEMAINE!R30, 2))</f>
        <v>217.84</v>
      </c>
      <c r="D22" s="68" t="str">
        <f>IF(DASHBOARD_SEMAINE!B30="", "", "EUR")</f>
        <v>EUR</v>
      </c>
      <c r="E22" s="3" t="str">
        <f>IF(DASHBOARD_SEMAINE!B30="", "", "Virement Semaine - " &amp; DASHBOARD_SEMAINE!B30)</f>
        <v>Virement Semaine - Adel Benabdelouahed</v>
      </c>
    </row>
    <row r="23" ht="24" customHeight="1" spans="1:5" x14ac:dyDescent="0.25">
      <c r="A23" s="65" t="str">
        <f>IF(DASHBOARD_SEMAINE!B31="", "", DASHBOARD_SEMAINE!B31)</f>
        <v>Ahmed Kherfouche</v>
      </c>
      <c r="B23" s="66" t="str">
        <f>IF(DASHBOARD_SEMAINE!B31="", "", DASHBOARD_SEMAINE!S31)</f>
        <v/>
      </c>
      <c r="C23" s="67" t="str">
        <f>IF(OR(DASHBOARD_SEMAINE!B31="", DASHBOARD_SEMAINE!R31&lt;=0), "", ROUND(DASHBOARD_SEMAINE!R31, 2))</f>
        <v/>
      </c>
      <c r="D23" s="68" t="str">
        <f>IF(DASHBOARD_SEMAINE!B31="", "", "EUR")</f>
        <v>EUR</v>
      </c>
      <c r="E23" s="3" t="str">
        <f>IF(DASHBOARD_SEMAINE!B31="", "", "Virement Semaine - " &amp; DASHBOARD_SEMAINE!B31)</f>
        <v>Virement Semaine - Ahmed Kherfouche</v>
      </c>
    </row>
    <row r="24" ht="24" customHeight="1" spans="1:5" x14ac:dyDescent="0.25">
      <c r="A24" s="65" t="str">
        <f>IF(DASHBOARD_SEMAINE!B32="", "", DASHBOARD_SEMAINE!B32)</f>
        <v>Alhassane Balde</v>
      </c>
      <c r="B24" s="66" t="str">
        <f>IF(DASHBOARD_SEMAINE!B32="", "", DASHBOARD_SEMAINE!S32)</f>
        <v/>
      </c>
      <c r="C24" s="67">
        <f>IF(OR(DASHBOARD_SEMAINE!B32="", DASHBOARD_SEMAINE!R32&lt;=0), "", ROUND(DASHBOARD_SEMAINE!R32, 2))</f>
        <v>65.62</v>
      </c>
      <c r="D24" s="68" t="str">
        <f>IF(DASHBOARD_SEMAINE!B32="", "", "EUR")</f>
        <v>EUR</v>
      </c>
      <c r="E24" s="3" t="str">
        <f>IF(DASHBOARD_SEMAINE!B32="", "", "Virement Semaine - " &amp; DASHBOARD_SEMAINE!B32)</f>
        <v>Virement Semaine - Alhassane Balde</v>
      </c>
    </row>
    <row r="25" ht="24" customHeight="1" spans="1:5" x14ac:dyDescent="0.25">
      <c r="A25" s="65" t="str">
        <f>IF(DASHBOARD_SEMAINE!B33="", "", DASHBOARD_SEMAINE!B33)</f>
        <v>Ali Alouani</v>
      </c>
      <c r="B25" s="66" t="str">
        <f>IF(DASHBOARD_SEMAINE!B33="", "", DASHBOARD_SEMAINE!S33)</f>
        <v/>
      </c>
      <c r="C25" s="67">
        <f>IF(OR(DASHBOARD_SEMAINE!B33="", DASHBOARD_SEMAINE!R33&lt;=0), "", ROUND(DASHBOARD_SEMAINE!R33, 2))</f>
        <v>358.54</v>
      </c>
      <c r="D25" s="68" t="str">
        <f>IF(DASHBOARD_SEMAINE!B33="", "", "EUR")</f>
        <v>EUR</v>
      </c>
      <c r="E25" s="3" t="str">
        <f>IF(DASHBOARD_SEMAINE!B33="", "", "Virement Semaine - " &amp; DASHBOARD_SEMAINE!B33)</f>
        <v>Virement Semaine - Ali Alouani</v>
      </c>
    </row>
    <row r="26" ht="24" customHeight="1" spans="1:5" x14ac:dyDescent="0.25">
      <c r="A26" s="65" t="str">
        <f>IF(DASHBOARD_SEMAINE!B34="", "", DASHBOARD_SEMAINE!B34)</f>
        <v>Asma Kissi</v>
      </c>
      <c r="B26" s="66" t="str">
        <f>IF(DASHBOARD_SEMAINE!B34="", "", DASHBOARD_SEMAINE!S34)</f>
        <v/>
      </c>
      <c r="C26" s="67" t="str">
        <f>IF(OR(DASHBOARD_SEMAINE!B34="", DASHBOARD_SEMAINE!R34&lt;=0), "", ROUND(DASHBOARD_SEMAINE!R34, 2))</f>
        <v/>
      </c>
      <c r="D26" s="68" t="str">
        <f>IF(DASHBOARD_SEMAINE!B34="", "", "EUR")</f>
        <v>EUR</v>
      </c>
      <c r="E26" s="3" t="str">
        <f>IF(DASHBOARD_SEMAINE!B34="", "", "Virement Semaine - " &amp; DASHBOARD_SEMAINE!B34)</f>
        <v>Virement Semaine - Asma Kissi</v>
      </c>
    </row>
    <row r="27" ht="24" customHeight="1" spans="1:5" x14ac:dyDescent="0.25">
      <c r="A27" s="65" t="str">
        <f>IF(DASHBOARD_SEMAINE!B35="", "", DASHBOARD_SEMAINE!B35)</f>
        <v>Aymen Ltifi</v>
      </c>
      <c r="B27" s="66" t="str">
        <f>IF(DASHBOARD_SEMAINE!B35="", "", DASHBOARD_SEMAINE!S35)</f>
        <v/>
      </c>
      <c r="C27" s="67" t="str">
        <f>IF(OR(DASHBOARD_SEMAINE!B35="", DASHBOARD_SEMAINE!R35&lt;=0), "", ROUND(DASHBOARD_SEMAINE!R35, 2))</f>
        <v/>
      </c>
      <c r="D27" s="68" t="str">
        <f>IF(DASHBOARD_SEMAINE!B35="", "", "EUR")</f>
        <v>EUR</v>
      </c>
      <c r="E27" s="3" t="str">
        <f>IF(DASHBOARD_SEMAINE!B35="", "", "Virement Semaine - " &amp; DASHBOARD_SEMAINE!B35)</f>
        <v>Virement Semaine - Aymen Ltifi</v>
      </c>
    </row>
    <row r="28" ht="24" customHeight="1" spans="1:5" x14ac:dyDescent="0.25">
      <c r="A28" s="65" t="str">
        <f>IF(DASHBOARD_SEMAINE!B36="", "", DASHBOARD_SEMAINE!B36)</f>
        <v>Bilel Bouhali</v>
      </c>
      <c r="B28" s="66" t="str">
        <f>IF(DASHBOARD_SEMAINE!B36="", "", DASHBOARD_SEMAINE!S36)</f>
        <v/>
      </c>
      <c r="C28" s="67" t="str">
        <f>IF(OR(DASHBOARD_SEMAINE!B36="", DASHBOARD_SEMAINE!R36&lt;=0), "", ROUND(DASHBOARD_SEMAINE!R36, 2))</f>
        <v/>
      </c>
      <c r="D28" s="68" t="str">
        <f>IF(DASHBOARD_SEMAINE!B36="", "", "EUR")</f>
        <v>EUR</v>
      </c>
      <c r="E28" s="3" t="str">
        <f>IF(DASHBOARD_SEMAINE!B36="", "", "Virement Semaine - " &amp; DASHBOARD_SEMAINE!B36)</f>
        <v>Virement Semaine - Bilel Bouhali</v>
      </c>
    </row>
    <row r="29" ht="24" customHeight="1" spans="1:5" x14ac:dyDescent="0.25">
      <c r="A29" s="65" t="str">
        <f>IF(DASHBOARD_SEMAINE!B37="", "", DASHBOARD_SEMAINE!B37)</f>
        <v>Brahim Aloui</v>
      </c>
      <c r="B29" s="66" t="str">
        <f>IF(DASHBOARD_SEMAINE!B37="", "", DASHBOARD_SEMAINE!S37)</f>
        <v/>
      </c>
      <c r="C29" s="67" t="str">
        <f>IF(OR(DASHBOARD_SEMAINE!B37="", DASHBOARD_SEMAINE!R37&lt;=0), "", ROUND(DASHBOARD_SEMAINE!R37, 2))</f>
        <v/>
      </c>
      <c r="D29" s="68" t="str">
        <f>IF(DASHBOARD_SEMAINE!B37="", "", "EUR")</f>
        <v>EUR</v>
      </c>
      <c r="E29" s="3" t="str">
        <f>IF(DASHBOARD_SEMAINE!B37="", "", "Virement Semaine - " &amp; DASHBOARD_SEMAINE!B37)</f>
        <v>Virement Semaine - Brahim Aloui</v>
      </c>
    </row>
    <row r="30" ht="24" customHeight="1" spans="1:5" x14ac:dyDescent="0.25">
      <c r="A30" s="65" t="str">
        <f>IF(DASHBOARD_SEMAINE!B38="", "", DASHBOARD_SEMAINE!B38)</f>
        <v>Bryan Grégory Michaud</v>
      </c>
      <c r="B30" s="66" t="str">
        <f>IF(DASHBOARD_SEMAINE!B38="", "", DASHBOARD_SEMAINE!S38)</f>
        <v/>
      </c>
      <c r="C30" s="67" t="str">
        <f>IF(OR(DASHBOARD_SEMAINE!B38="", DASHBOARD_SEMAINE!R38&lt;=0), "", ROUND(DASHBOARD_SEMAINE!R38, 2))</f>
        <v/>
      </c>
      <c r="D30" s="68" t="str">
        <f>IF(DASHBOARD_SEMAINE!B38="", "", "EUR")</f>
        <v>EUR</v>
      </c>
      <c r="E30" s="3" t="str">
        <f>IF(DASHBOARD_SEMAINE!B38="", "", "Virement Semaine - " &amp; DASHBOARD_SEMAINE!B38)</f>
        <v>Virement Semaine - Bryan Grégory Michaud</v>
      </c>
    </row>
    <row r="31" ht="24" customHeight="1" spans="1:5" x14ac:dyDescent="0.25">
      <c r="A31" s="65" t="str">
        <f>IF(DASHBOARD_SEMAINE!B39="", "", DASHBOARD_SEMAINE!B39)</f>
        <v>Christopher Andrew Mongis</v>
      </c>
      <c r="B31" s="66" t="str">
        <f>IF(DASHBOARD_SEMAINE!B39="", "", DASHBOARD_SEMAINE!S39)</f>
        <v/>
      </c>
      <c r="C31" s="67">
        <f>IF(OR(DASHBOARD_SEMAINE!B39="", DASHBOARD_SEMAINE!R39&lt;=0), "", ROUND(DASHBOARD_SEMAINE!R39, 2))</f>
        <v>129.99</v>
      </c>
      <c r="D31" s="68" t="str">
        <f>IF(DASHBOARD_SEMAINE!B39="", "", "EUR")</f>
        <v>EUR</v>
      </c>
      <c r="E31" s="3" t="str">
        <f>IF(DASHBOARD_SEMAINE!B39="", "", "Virement Semaine - " &amp; DASHBOARD_SEMAINE!B39)</f>
        <v>Virement Semaine - Christopher Andrew Mongis</v>
      </c>
    </row>
    <row r="32" ht="24" customHeight="1" spans="1:5" x14ac:dyDescent="0.25">
      <c r="A32" s="65" t="str">
        <f>IF(DASHBOARD_SEMAINE!B40="", "", DASHBOARD_SEMAINE!B40)</f>
        <v>Daba Gandega</v>
      </c>
      <c r="B32" s="66" t="str">
        <f>IF(DASHBOARD_SEMAINE!B40="", "", DASHBOARD_SEMAINE!S40)</f>
        <v/>
      </c>
      <c r="C32" s="67" t="str">
        <f>IF(OR(DASHBOARD_SEMAINE!B40="", DASHBOARD_SEMAINE!R40&lt;=0), "", ROUND(DASHBOARD_SEMAINE!R40, 2))</f>
        <v/>
      </c>
      <c r="D32" s="68" t="str">
        <f>IF(DASHBOARD_SEMAINE!B40="", "", "EUR")</f>
        <v>EUR</v>
      </c>
      <c r="E32" s="3" t="str">
        <f>IF(DASHBOARD_SEMAINE!B40="", "", "Virement Semaine - " &amp; DASHBOARD_SEMAINE!B40)</f>
        <v>Virement Semaine - Daba Gandega</v>
      </c>
    </row>
    <row r="33" ht="24" customHeight="1" spans="1:5" x14ac:dyDescent="0.25">
      <c r="A33" s="65" t="str">
        <f>IF(DASHBOARD_SEMAINE!B41="", "", DASHBOARD_SEMAINE!B41)</f>
        <v>Elias Bihi</v>
      </c>
      <c r="B33" s="66" t="str">
        <f>IF(DASHBOARD_SEMAINE!B41="", "", DASHBOARD_SEMAINE!S41)</f>
        <v/>
      </c>
      <c r="C33" s="67">
        <f>IF(OR(DASHBOARD_SEMAINE!B41="", DASHBOARD_SEMAINE!R41&lt;=0), "", ROUND(DASHBOARD_SEMAINE!R41, 2))</f>
        <v>204.45</v>
      </c>
      <c r="D33" s="68" t="str">
        <f>IF(DASHBOARD_SEMAINE!B41="", "", "EUR")</f>
        <v>EUR</v>
      </c>
      <c r="E33" s="3" t="str">
        <f>IF(DASHBOARD_SEMAINE!B41="", "", "Virement Semaine - " &amp; DASHBOARD_SEMAINE!B41)</f>
        <v>Virement Semaine - Elias Bihi</v>
      </c>
    </row>
    <row r="34" ht="24" customHeight="1" spans="1:5" x14ac:dyDescent="0.25">
      <c r="A34" s="65" t="str">
        <f>IF(DASHBOARD_SEMAINE!B42="", "", DASHBOARD_SEMAINE!B42)</f>
        <v>Elias Hocine Abdellou</v>
      </c>
      <c r="B34" s="66" t="str">
        <f>IF(DASHBOARD_SEMAINE!B42="", "", DASHBOARD_SEMAINE!S42)</f>
        <v/>
      </c>
      <c r="C34" s="67" t="str">
        <f>IF(OR(DASHBOARD_SEMAINE!B42="", DASHBOARD_SEMAINE!R42&lt;=0), "", ROUND(DASHBOARD_SEMAINE!R42, 2))</f>
        <v/>
      </c>
      <c r="D34" s="68" t="str">
        <f>IF(DASHBOARD_SEMAINE!B42="", "", "EUR")</f>
        <v>EUR</v>
      </c>
      <c r="E34" s="3" t="str">
        <f>IF(DASHBOARD_SEMAINE!B42="", "", "Virement Semaine - " &amp; DASHBOARD_SEMAINE!B42)</f>
        <v>Virement Semaine - Elias Hocine Abdellou</v>
      </c>
    </row>
    <row r="35" ht="24" customHeight="1" spans="1:5" x14ac:dyDescent="0.25">
      <c r="A35" s="65" t="str">
        <f>IF(DASHBOARD_SEMAINE!B43="", "", DASHBOARD_SEMAINE!B43)</f>
        <v>Faical Jabri</v>
      </c>
      <c r="B35" s="66" t="str">
        <f>IF(DASHBOARD_SEMAINE!B43="", "", DASHBOARD_SEMAINE!S43)</f>
        <v/>
      </c>
      <c r="C35" s="67">
        <f>IF(OR(DASHBOARD_SEMAINE!B43="", DASHBOARD_SEMAINE!R43&lt;=0), "", ROUND(DASHBOARD_SEMAINE!R43, 2))</f>
        <v>107.37</v>
      </c>
      <c r="D35" s="68" t="str">
        <f>IF(DASHBOARD_SEMAINE!B43="", "", "EUR")</f>
        <v>EUR</v>
      </c>
      <c r="E35" s="3" t="str">
        <f>IF(DASHBOARD_SEMAINE!B43="", "", "Virement Semaine - " &amp; DASHBOARD_SEMAINE!B43)</f>
        <v>Virement Semaine - Faical Jabri</v>
      </c>
    </row>
    <row r="36" ht="24" customHeight="1" spans="1:5" x14ac:dyDescent="0.25">
      <c r="A36" s="65" t="str">
        <f>IF(DASHBOARD_SEMAINE!B44="", "", DASHBOARD_SEMAINE!B44)</f>
        <v>Foued Karoui</v>
      </c>
      <c r="B36" s="66" t="str">
        <f>IF(DASHBOARD_SEMAINE!B44="", "", DASHBOARD_SEMAINE!S44)</f>
        <v/>
      </c>
      <c r="C36" s="67">
        <f>IF(OR(DASHBOARD_SEMAINE!B44="", DASHBOARD_SEMAINE!R44&lt;=0), "", ROUND(DASHBOARD_SEMAINE!R44, 2))</f>
        <v>119.13</v>
      </c>
      <c r="D36" s="68" t="str">
        <f>IF(DASHBOARD_SEMAINE!B44="", "", "EUR")</f>
        <v>EUR</v>
      </c>
      <c r="E36" s="3" t="str">
        <f>IF(DASHBOARD_SEMAINE!B44="", "", "Virement Semaine - " &amp; DASHBOARD_SEMAINE!B44)</f>
        <v>Virement Semaine - Foued Karoui</v>
      </c>
    </row>
    <row r="37" ht="24" customHeight="1" spans="1:5" x14ac:dyDescent="0.25">
      <c r="A37" s="65" t="str">
        <f>IF(DASHBOARD_SEMAINE!B45="", "", DASHBOARD_SEMAINE!B45)</f>
        <v>Hassene Khiari</v>
      </c>
      <c r="B37" s="66" t="str">
        <f>IF(DASHBOARD_SEMAINE!B45="", "", DASHBOARD_SEMAINE!S45)</f>
        <v/>
      </c>
      <c r="C37" s="67">
        <f>IF(OR(DASHBOARD_SEMAINE!B45="", DASHBOARD_SEMAINE!R45&lt;=0), "", ROUND(DASHBOARD_SEMAINE!R45, 2))</f>
        <v>244.59</v>
      </c>
      <c r="D37" s="68" t="str">
        <f>IF(DASHBOARD_SEMAINE!B45="", "", "EUR")</f>
        <v>EUR</v>
      </c>
      <c r="E37" s="3" t="str">
        <f>IF(DASHBOARD_SEMAINE!B45="", "", "Virement Semaine - " &amp; DASHBOARD_SEMAINE!B45)</f>
        <v>Virement Semaine - Hassene Khiari</v>
      </c>
    </row>
    <row r="38" ht="24" customHeight="1" spans="1:5" x14ac:dyDescent="0.25">
      <c r="A38" s="65" t="str">
        <f>IF(DASHBOARD_SEMAINE!B46="", "", DASHBOARD_SEMAINE!B46)</f>
        <v>Haythem Dhifi</v>
      </c>
      <c r="B38" s="66" t="str">
        <f>IF(DASHBOARD_SEMAINE!B46="", "", DASHBOARD_SEMAINE!S46)</f>
        <v/>
      </c>
      <c r="C38" s="67">
        <f>IF(OR(DASHBOARD_SEMAINE!B46="", DASHBOARD_SEMAINE!R46&lt;=0), "", ROUND(DASHBOARD_SEMAINE!R46, 2))</f>
        <v>27.85</v>
      </c>
      <c r="D38" s="68" t="str">
        <f>IF(DASHBOARD_SEMAINE!B46="", "", "EUR")</f>
        <v>EUR</v>
      </c>
      <c r="E38" s="3" t="str">
        <f>IF(DASHBOARD_SEMAINE!B46="", "", "Virement Semaine - " &amp; DASHBOARD_SEMAINE!B46)</f>
        <v>Virement Semaine - Haythem Dhifi</v>
      </c>
    </row>
    <row r="39" ht="24" customHeight="1" spans="1:5" x14ac:dyDescent="0.25">
      <c r="A39" s="65" t="str">
        <f>IF(DASHBOARD_SEMAINE!B47="", "", DASHBOARD_SEMAINE!B47)</f>
        <v>Helton Jose Coelho Da Veiga</v>
      </c>
      <c r="B39" s="66" t="str">
        <f>IF(DASHBOARD_SEMAINE!B47="", "", DASHBOARD_SEMAINE!S47)</f>
        <v/>
      </c>
      <c r="C39" s="67" t="str">
        <f>IF(OR(DASHBOARD_SEMAINE!B47="", DASHBOARD_SEMAINE!R47&lt;=0), "", ROUND(DASHBOARD_SEMAINE!R47, 2))</f>
        <v/>
      </c>
      <c r="D39" s="68" t="str">
        <f>IF(DASHBOARD_SEMAINE!B47="", "", "EUR")</f>
        <v>EUR</v>
      </c>
      <c r="E39" s="3" t="str">
        <f>IF(DASHBOARD_SEMAINE!B47="", "", "Virement Semaine - " &amp; DASHBOARD_SEMAINE!B47)</f>
        <v>Virement Semaine - Helton Jose Coelho Da Veiga</v>
      </c>
    </row>
    <row r="40" ht="24" customHeight="1" spans="1:5" x14ac:dyDescent="0.25">
      <c r="A40" s="65" t="str">
        <f>IF(DASHBOARD_SEMAINE!B48="", "", DASHBOARD_SEMAINE!B48)</f>
        <v>Issa Tandjigora</v>
      </c>
      <c r="B40" s="66" t="str">
        <f>IF(DASHBOARD_SEMAINE!B48="", "", DASHBOARD_SEMAINE!S48)</f>
        <v/>
      </c>
      <c r="C40" s="67">
        <f>IF(OR(DASHBOARD_SEMAINE!B48="", DASHBOARD_SEMAINE!R48&lt;=0), "", ROUND(DASHBOARD_SEMAINE!R48, 2))</f>
        <v>213.32</v>
      </c>
      <c r="D40" s="68" t="str">
        <f>IF(DASHBOARD_SEMAINE!B48="", "", "EUR")</f>
        <v>EUR</v>
      </c>
      <c r="E40" s="3" t="str">
        <f>IF(DASHBOARD_SEMAINE!B48="", "", "Virement Semaine - " &amp; DASHBOARD_SEMAINE!B48)</f>
        <v>Virement Semaine - Issa Tandjigora</v>
      </c>
    </row>
    <row r="41" ht="24" customHeight="1" spans="1:5" x14ac:dyDescent="0.25">
      <c r="A41" s="65" t="str">
        <f>IF(DASHBOARD_SEMAINE!B49="", "", DASHBOARD_SEMAINE!B49)</f>
        <v>Jalel Sehili</v>
      </c>
      <c r="B41" s="66" t="str">
        <f>IF(DASHBOARD_SEMAINE!B49="", "", DASHBOARD_SEMAINE!S49)</f>
        <v/>
      </c>
      <c r="C41" s="67" t="str">
        <f>IF(OR(DASHBOARD_SEMAINE!B49="", DASHBOARD_SEMAINE!R49&lt;=0), "", ROUND(DASHBOARD_SEMAINE!R49, 2))</f>
        <v/>
      </c>
      <c r="D41" s="68" t="str">
        <f>IF(DASHBOARD_SEMAINE!B49="", "", "EUR")</f>
        <v>EUR</v>
      </c>
      <c r="E41" s="3" t="str">
        <f>IF(DASHBOARD_SEMAINE!B49="", "", "Virement Semaine - " &amp; DASHBOARD_SEMAINE!B49)</f>
        <v>Virement Semaine - Jalel Sehili</v>
      </c>
    </row>
    <row r="42" ht="24" customHeight="1" spans="1:5" x14ac:dyDescent="0.25">
      <c r="A42" s="65" t="str">
        <f>IF(DASHBOARD_SEMAINE!B50="", "", DASHBOARD_SEMAINE!B50)</f>
        <v>Jovan Milic</v>
      </c>
      <c r="B42" s="66" t="str">
        <f>IF(DASHBOARD_SEMAINE!B50="", "", DASHBOARD_SEMAINE!S50)</f>
        <v/>
      </c>
      <c r="C42" s="67">
        <f>IF(OR(DASHBOARD_SEMAINE!B50="", DASHBOARD_SEMAINE!R50&lt;=0), "", ROUND(DASHBOARD_SEMAINE!R50, 2))</f>
        <v>149.32</v>
      </c>
      <c r="D42" s="68" t="str">
        <f>IF(DASHBOARD_SEMAINE!B50="", "", "EUR")</f>
        <v>EUR</v>
      </c>
      <c r="E42" s="3" t="str">
        <f>IF(DASHBOARD_SEMAINE!B50="", "", "Virement Semaine - " &amp; DASHBOARD_SEMAINE!B50)</f>
        <v>Virement Semaine - Jovan Milic</v>
      </c>
    </row>
    <row r="43" ht="24" customHeight="1" spans="1:5" x14ac:dyDescent="0.25">
      <c r="A43" s="65" t="str">
        <f>IF(DASHBOARD_SEMAINE!B51="", "", DASHBOARD_SEMAINE!B51)</f>
        <v>Kamel Kebli</v>
      </c>
      <c r="B43" s="66" t="str">
        <f>IF(DASHBOARD_SEMAINE!B51="", "", DASHBOARD_SEMAINE!S51)</f>
        <v/>
      </c>
      <c r="C43" s="67" t="str">
        <f>IF(OR(DASHBOARD_SEMAINE!B51="", DASHBOARD_SEMAINE!R51&lt;=0), "", ROUND(DASHBOARD_SEMAINE!R51, 2))</f>
        <v/>
      </c>
      <c r="D43" s="68" t="str">
        <f>IF(DASHBOARD_SEMAINE!B51="", "", "EUR")</f>
        <v>EUR</v>
      </c>
      <c r="E43" s="3" t="str">
        <f>IF(DASHBOARD_SEMAINE!B51="", "", "Virement Semaine - " &amp; DASHBOARD_SEMAINE!B51)</f>
        <v>Virement Semaine - Kamel Kebli</v>
      </c>
    </row>
    <row r="44" ht="24" customHeight="1" spans="1:5" x14ac:dyDescent="0.25">
      <c r="A44" s="65" t="str">
        <f>IF(DASHBOARD_SEMAINE!B52="", "", DASHBOARD_SEMAINE!B52)</f>
        <v>Karim Sidibe</v>
      </c>
      <c r="B44" s="66" t="str">
        <f>IF(DASHBOARD_SEMAINE!B52="", "", DASHBOARD_SEMAINE!S52)</f>
        <v/>
      </c>
      <c r="C44" s="67" t="str">
        <f>IF(OR(DASHBOARD_SEMAINE!B52="", DASHBOARD_SEMAINE!R52&lt;=0), "", ROUND(DASHBOARD_SEMAINE!R52, 2))</f>
        <v/>
      </c>
      <c r="D44" s="68" t="str">
        <f>IF(DASHBOARD_SEMAINE!B52="", "", "EUR")</f>
        <v>EUR</v>
      </c>
      <c r="E44" s="3" t="str">
        <f>IF(DASHBOARD_SEMAINE!B52="", "", "Virement Semaine - " &amp; DASHBOARD_SEMAINE!B52)</f>
        <v>Virement Semaine - Karim Sidibe</v>
      </c>
    </row>
    <row r="45" ht="24" customHeight="1" spans="1:5" x14ac:dyDescent="0.25">
      <c r="A45" s="65" t="str">
        <f>IF(DASHBOARD_SEMAINE!B53="", "", DASHBOARD_SEMAINE!B53)</f>
        <v>Khaled Kebli</v>
      </c>
      <c r="B45" s="66" t="str">
        <f>IF(DASHBOARD_SEMAINE!B53="", "", DASHBOARD_SEMAINE!S53)</f>
        <v/>
      </c>
      <c r="C45" s="67" t="str">
        <f>IF(OR(DASHBOARD_SEMAINE!B53="", DASHBOARD_SEMAINE!R53&lt;=0), "", ROUND(DASHBOARD_SEMAINE!R53, 2))</f>
        <v/>
      </c>
      <c r="D45" s="68" t="str">
        <f>IF(DASHBOARD_SEMAINE!B53="", "", "EUR")</f>
        <v>EUR</v>
      </c>
      <c r="E45" s="3" t="str">
        <f>IF(DASHBOARD_SEMAINE!B53="", "", "Virement Semaine - " &amp; DASHBOARD_SEMAINE!B53)</f>
        <v>Virement Semaine - Khaled Kebli</v>
      </c>
    </row>
    <row r="46" ht="24" customHeight="1" spans="1:5" x14ac:dyDescent="0.25">
      <c r="A46" s="65" t="str">
        <f>IF(DASHBOARD_SEMAINE!B54="", "", DASHBOARD_SEMAINE!B54)</f>
        <v>Khalid Okeil</v>
      </c>
      <c r="B46" s="66" t="str">
        <f>IF(DASHBOARD_SEMAINE!B54="", "", DASHBOARD_SEMAINE!S54)</f>
        <v/>
      </c>
      <c r="C46" s="67">
        <f>IF(OR(DASHBOARD_SEMAINE!B54="", DASHBOARD_SEMAINE!R54&lt;=0), "", ROUND(DASHBOARD_SEMAINE!R54, 2))</f>
        <v>28.66</v>
      </c>
      <c r="D46" s="68" t="str">
        <f>IF(DASHBOARD_SEMAINE!B54="", "", "EUR")</f>
        <v>EUR</v>
      </c>
      <c r="E46" s="3" t="str">
        <f>IF(DASHBOARD_SEMAINE!B54="", "", "Virement Semaine - " &amp; DASHBOARD_SEMAINE!B54)</f>
        <v>Virement Semaine - Khalid Okeil</v>
      </c>
    </row>
    <row r="47" ht="24" customHeight="1" spans="1:5" x14ac:dyDescent="0.25">
      <c r="A47" s="65" t="str">
        <f>IF(DASHBOARD_SEMAINE!B55="", "", DASHBOARD_SEMAINE!B55)</f>
        <v>Mehdi Bouchnag</v>
      </c>
      <c r="B47" s="66" t="str">
        <f>IF(DASHBOARD_SEMAINE!B55="", "", DASHBOARD_SEMAINE!S55)</f>
        <v/>
      </c>
      <c r="C47" s="67">
        <f>IF(OR(DASHBOARD_SEMAINE!B55="", DASHBOARD_SEMAINE!R55&lt;=0), "", ROUND(DASHBOARD_SEMAINE!R55, 2))</f>
        <v>12.64</v>
      </c>
      <c r="D47" s="68" t="str">
        <f>IF(DASHBOARD_SEMAINE!B55="", "", "EUR")</f>
        <v>EUR</v>
      </c>
      <c r="E47" s="3" t="str">
        <f>IF(DASHBOARD_SEMAINE!B55="", "", "Virement Semaine - " &amp; DASHBOARD_SEMAINE!B55)</f>
        <v>Virement Semaine - Mehdi Bouchnag</v>
      </c>
    </row>
    <row r="48" ht="24" customHeight="1" spans="1:5" x14ac:dyDescent="0.25">
      <c r="A48" s="65" t="str">
        <f>IF(DASHBOARD_SEMAINE!B56="", "", DASHBOARD_SEMAINE!B56)</f>
        <v>Merouane Remam</v>
      </c>
      <c r="B48" s="66" t="str">
        <f>IF(DASHBOARD_SEMAINE!B56="", "", DASHBOARD_SEMAINE!S56)</f>
        <v/>
      </c>
      <c r="C48" s="67" t="str">
        <f>IF(OR(DASHBOARD_SEMAINE!B56="", DASHBOARD_SEMAINE!R56&lt;=0), "", ROUND(DASHBOARD_SEMAINE!R56, 2))</f>
        <v/>
      </c>
      <c r="D48" s="68" t="str">
        <f>IF(DASHBOARD_SEMAINE!B56="", "", "EUR")</f>
        <v>EUR</v>
      </c>
      <c r="E48" s="3" t="str">
        <f>IF(DASHBOARD_SEMAINE!B56="", "", "Virement Semaine - " &amp; DASHBOARD_SEMAINE!B56)</f>
        <v>Virement Semaine - Merouane Remam</v>
      </c>
    </row>
    <row r="49" ht="24" customHeight="1" spans="1:5" x14ac:dyDescent="0.25">
      <c r="A49" s="65" t="str">
        <f>IF(DASHBOARD_SEMAINE!B57="", "", DASHBOARD_SEMAINE!B57)</f>
        <v>Mohamed Bayrem Allagui</v>
      </c>
      <c r="B49" s="66" t="str">
        <f>IF(DASHBOARD_SEMAINE!B57="", "", DASHBOARD_SEMAINE!S57)</f>
        <v/>
      </c>
      <c r="C49" s="67">
        <f>IF(OR(DASHBOARD_SEMAINE!B57="", DASHBOARD_SEMAINE!R57&lt;=0), "", ROUND(DASHBOARD_SEMAINE!R57, 2))</f>
        <v>115.2</v>
      </c>
      <c r="D49" s="68" t="str">
        <f>IF(DASHBOARD_SEMAINE!B57="", "", "EUR")</f>
        <v>EUR</v>
      </c>
      <c r="E49" s="3" t="str">
        <f>IF(DASHBOARD_SEMAINE!B57="", "", "Virement Semaine - " &amp; DASHBOARD_SEMAINE!B57)</f>
        <v>Virement Semaine - Mohamed Bayrem Allagui</v>
      </c>
    </row>
    <row r="50" ht="24" customHeight="1" spans="1:5" x14ac:dyDescent="0.25">
      <c r="A50" s="65" t="str">
        <f>IF(DASHBOARD_SEMAINE!B58="", "", DASHBOARD_SEMAINE!B58)</f>
        <v>Mohamed Bouali</v>
      </c>
      <c r="B50" s="66" t="str">
        <f>IF(DASHBOARD_SEMAINE!B58="", "", DASHBOARD_SEMAINE!S58)</f>
        <v/>
      </c>
      <c r="C50" s="67" t="str">
        <f>IF(OR(DASHBOARD_SEMAINE!B58="", DASHBOARD_SEMAINE!R58&lt;=0), "", ROUND(DASHBOARD_SEMAINE!R58, 2))</f>
        <v/>
      </c>
      <c r="D50" s="68" t="str">
        <f>IF(DASHBOARD_SEMAINE!B58="", "", "EUR")</f>
        <v>EUR</v>
      </c>
      <c r="E50" s="3" t="str">
        <f>IF(DASHBOARD_SEMAINE!B58="", "", "Virement Semaine - " &amp; DASHBOARD_SEMAINE!B58)</f>
        <v>Virement Semaine - Mohamed Bouali</v>
      </c>
    </row>
    <row r="51" ht="24" customHeight="1" spans="1:5" x14ac:dyDescent="0.25">
      <c r="A51" s="65" t="str">
        <f>IF(DASHBOARD_SEMAINE!B59="", "", DASHBOARD_SEMAINE!B59)</f>
        <v>Mohamed El Khabazi</v>
      </c>
      <c r="B51" s="66" t="str">
        <f>IF(DASHBOARD_SEMAINE!B59="", "", DASHBOARD_SEMAINE!S59)</f>
        <v/>
      </c>
      <c r="C51" s="67">
        <f>IF(OR(DASHBOARD_SEMAINE!B59="", DASHBOARD_SEMAINE!R59&lt;=0), "", ROUND(DASHBOARD_SEMAINE!R59, 2))</f>
        <v>76.87</v>
      </c>
      <c r="D51" s="68" t="str">
        <f>IF(DASHBOARD_SEMAINE!B59="", "", "EUR")</f>
        <v>EUR</v>
      </c>
      <c r="E51" s="3" t="str">
        <f>IF(DASHBOARD_SEMAINE!B59="", "", "Virement Semaine - " &amp; DASHBOARD_SEMAINE!B59)</f>
        <v>Virement Semaine - Mohamed El Khabazi</v>
      </c>
    </row>
    <row r="52" ht="24" customHeight="1" spans="1:5" x14ac:dyDescent="0.25">
      <c r="A52" s="65" t="str">
        <f>IF(DASHBOARD_SEMAINE!B60="", "", DASHBOARD_SEMAINE!B60)</f>
        <v>Mohamed Fehdi Ben-Fekih</v>
      </c>
      <c r="B52" s="66" t="str">
        <f>IF(DASHBOARD_SEMAINE!B60="", "", DASHBOARD_SEMAINE!S60)</f>
        <v/>
      </c>
      <c r="C52" s="67">
        <f>IF(OR(DASHBOARD_SEMAINE!B60="", DASHBOARD_SEMAINE!R60&lt;=0), "", ROUND(DASHBOARD_SEMAINE!R60, 2))</f>
        <v>96.47</v>
      </c>
      <c r="D52" s="68" t="str">
        <f>IF(DASHBOARD_SEMAINE!B60="", "", "EUR")</f>
        <v>EUR</v>
      </c>
      <c r="E52" s="3" t="str">
        <f>IF(DASHBOARD_SEMAINE!B60="", "", "Virement Semaine - " &amp; DASHBOARD_SEMAINE!B60)</f>
        <v>Virement Semaine - Mohamed Fehdi Ben-Fekih</v>
      </c>
    </row>
    <row r="53" ht="24" customHeight="1" spans="1:5" x14ac:dyDescent="0.25">
      <c r="A53" s="65" t="str">
        <f>IF(DASHBOARD_SEMAINE!B61="", "", DASHBOARD_SEMAINE!B61)</f>
        <v>Mourad Bouakkaz</v>
      </c>
      <c r="B53" s="66" t="str">
        <f>IF(DASHBOARD_SEMAINE!B61="", "", DASHBOARD_SEMAINE!S61)</f>
        <v/>
      </c>
      <c r="C53" s="67">
        <f>IF(OR(DASHBOARD_SEMAINE!B61="", DASHBOARD_SEMAINE!R61&lt;=0), "", ROUND(DASHBOARD_SEMAINE!R61, 2))</f>
        <v>67.24</v>
      </c>
      <c r="D53" s="68" t="str">
        <f>IF(DASHBOARD_SEMAINE!B61="", "", "EUR")</f>
        <v>EUR</v>
      </c>
      <c r="E53" s="3" t="str">
        <f>IF(DASHBOARD_SEMAINE!B61="", "", "Virement Semaine - " &amp; DASHBOARD_SEMAINE!B61)</f>
        <v>Virement Semaine - Mourad Bouakkaz</v>
      </c>
    </row>
    <row r="54" ht="24" customHeight="1" spans="1:5" x14ac:dyDescent="0.25">
      <c r="A54" s="65" t="str">
        <f>IF(DASHBOARD_SEMAINE!B62="", "", DASHBOARD_SEMAINE!B62)</f>
        <v>Noureddine Tattouche</v>
      </c>
      <c r="B54" s="66" t="str">
        <f>IF(DASHBOARD_SEMAINE!B62="", "", DASHBOARD_SEMAINE!S62)</f>
        <v/>
      </c>
      <c r="C54" s="67" t="str">
        <f>IF(OR(DASHBOARD_SEMAINE!B62="", DASHBOARD_SEMAINE!R62&lt;=0), "", ROUND(DASHBOARD_SEMAINE!R62, 2))</f>
        <v/>
      </c>
      <c r="D54" s="68" t="str">
        <f>IF(DASHBOARD_SEMAINE!B62="", "", "EUR")</f>
        <v>EUR</v>
      </c>
      <c r="E54" s="3" t="str">
        <f>IF(DASHBOARD_SEMAINE!B62="", "", "Virement Semaine - " &amp; DASHBOARD_SEMAINE!B62)</f>
        <v>Virement Semaine - Noureddine Tattouche</v>
      </c>
    </row>
    <row r="55" ht="24" customHeight="1" spans="1:5" x14ac:dyDescent="0.25">
      <c r="A55" s="65" t="str">
        <f>IF(DASHBOARD_SEMAINE!B63="", "", DASHBOARD_SEMAINE!B63)</f>
        <v>Ousmane Sylla</v>
      </c>
      <c r="B55" s="66" t="str">
        <f>IF(DASHBOARD_SEMAINE!B63="", "", DASHBOARD_SEMAINE!S63)</f>
        <v/>
      </c>
      <c r="C55" s="67" t="str">
        <f>IF(OR(DASHBOARD_SEMAINE!B63="", DASHBOARD_SEMAINE!R63&lt;=0), "", ROUND(DASHBOARD_SEMAINE!R63, 2))</f>
        <v/>
      </c>
      <c r="D55" s="68" t="str">
        <f>IF(DASHBOARD_SEMAINE!B63="", "", "EUR")</f>
        <v>EUR</v>
      </c>
      <c r="E55" s="3" t="str">
        <f>IF(DASHBOARD_SEMAINE!B63="", "", "Virement Semaine - " &amp; DASHBOARD_SEMAINE!B63)</f>
        <v>Virement Semaine - Ousmane Sylla</v>
      </c>
    </row>
    <row r="56" ht="24" customHeight="1" spans="1:5" x14ac:dyDescent="0.25">
      <c r="A56" s="65" t="str">
        <f>IF(DASHBOARD_SEMAINE!B64="", "", DASHBOARD_SEMAINE!B64)</f>
        <v>Raed Loghmari</v>
      </c>
      <c r="B56" s="66" t="str">
        <f>IF(DASHBOARD_SEMAINE!B64="", "", DASHBOARD_SEMAINE!S64)</f>
        <v/>
      </c>
      <c r="C56" s="67">
        <f>IF(OR(DASHBOARD_SEMAINE!B64="", DASHBOARD_SEMAINE!R64&lt;=0), "", ROUND(DASHBOARD_SEMAINE!R64, 2))</f>
        <v>473</v>
      </c>
      <c r="D56" s="68" t="str">
        <f>IF(DASHBOARD_SEMAINE!B64="", "", "EUR")</f>
        <v>EUR</v>
      </c>
      <c r="E56" s="3" t="str">
        <f>IF(DASHBOARD_SEMAINE!B64="", "", "Virement Semaine - " &amp; DASHBOARD_SEMAINE!B64)</f>
        <v>Virement Semaine - Raed Loghmari</v>
      </c>
    </row>
    <row r="57" ht="24" customHeight="1" spans="1:5" x14ac:dyDescent="0.25">
      <c r="A57" s="65" t="str">
        <f>IF(DASHBOARD_SEMAINE!B65="", "", DASHBOARD_SEMAINE!B65)</f>
        <v>Ramzi Khannoussi</v>
      </c>
      <c r="B57" s="66" t="str">
        <f>IF(DASHBOARD_SEMAINE!B65="", "", DASHBOARD_SEMAINE!S65)</f>
        <v/>
      </c>
      <c r="C57" s="67">
        <f>IF(OR(DASHBOARD_SEMAINE!B65="", DASHBOARD_SEMAINE!R65&lt;=0), "", ROUND(DASHBOARD_SEMAINE!R65, 2))</f>
        <v>549.05</v>
      </c>
      <c r="D57" s="68" t="str">
        <f>IF(DASHBOARD_SEMAINE!B65="", "", "EUR")</f>
        <v>EUR</v>
      </c>
      <c r="E57" s="3" t="str">
        <f>IF(DASHBOARD_SEMAINE!B65="", "", "Virement Semaine - " &amp; DASHBOARD_SEMAINE!B65)</f>
        <v>Virement Semaine - Ramzi Khannoussi</v>
      </c>
    </row>
    <row r="58" ht="24" customHeight="1" spans="1:5" x14ac:dyDescent="0.25">
      <c r="A58" s="65" t="str">
        <f>IF(DASHBOARD_SEMAINE!B66="", "", DASHBOARD_SEMAINE!B66)</f>
        <v>Robert-Ionut Neagu</v>
      </c>
      <c r="B58" s="66" t="str">
        <f>IF(DASHBOARD_SEMAINE!B66="", "", DASHBOARD_SEMAINE!S66)</f>
        <v/>
      </c>
      <c r="C58" s="67">
        <f>IF(OR(DASHBOARD_SEMAINE!B66="", DASHBOARD_SEMAINE!R66&lt;=0), "", ROUND(DASHBOARD_SEMAINE!R66, 2))</f>
        <v>475.24</v>
      </c>
      <c r="D58" s="68" t="str">
        <f>IF(DASHBOARD_SEMAINE!B66="", "", "EUR")</f>
        <v>EUR</v>
      </c>
      <c r="E58" s="3" t="str">
        <f>IF(DASHBOARD_SEMAINE!B66="", "", "Virement Semaine - " &amp; DASHBOARD_SEMAINE!B66)</f>
        <v>Virement Semaine - Robert-Ionut Neagu</v>
      </c>
    </row>
    <row r="59" ht="24" customHeight="1" spans="1:5" x14ac:dyDescent="0.25">
      <c r="A59" s="65" t="str">
        <f>IF(DASHBOARD_SEMAINE!B67="", "", DASHBOARD_SEMAINE!B67)</f>
        <v>Ryan Challab</v>
      </c>
      <c r="B59" s="66" t="str">
        <f>IF(DASHBOARD_SEMAINE!B67="", "", DASHBOARD_SEMAINE!S67)</f>
        <v/>
      </c>
      <c r="C59" s="67">
        <f>IF(OR(DASHBOARD_SEMAINE!B67="", DASHBOARD_SEMAINE!R67&lt;=0), "", ROUND(DASHBOARD_SEMAINE!R67, 2))</f>
        <v>313.2</v>
      </c>
      <c r="D59" s="68" t="str">
        <f>IF(DASHBOARD_SEMAINE!B67="", "", "EUR")</f>
        <v>EUR</v>
      </c>
      <c r="E59" s="3" t="str">
        <f>IF(DASHBOARD_SEMAINE!B67="", "", "Virement Semaine - " &amp; DASHBOARD_SEMAINE!B67)</f>
        <v>Virement Semaine - Ryan Challab</v>
      </c>
    </row>
    <row r="60" ht="24" customHeight="1" spans="1:5" x14ac:dyDescent="0.25">
      <c r="A60" s="65" t="str">
        <f>IF(DASHBOARD_SEMAINE!B68="", "", DASHBOARD_SEMAINE!B68)</f>
        <v>Sadibou Diatta</v>
      </c>
      <c r="B60" s="66" t="str">
        <f>IF(DASHBOARD_SEMAINE!B68="", "", DASHBOARD_SEMAINE!S68)</f>
        <v/>
      </c>
      <c r="C60" s="67" t="str">
        <f>IF(OR(DASHBOARD_SEMAINE!B68="", DASHBOARD_SEMAINE!R68&lt;=0), "", ROUND(DASHBOARD_SEMAINE!R68, 2))</f>
        <v/>
      </c>
      <c r="D60" s="68" t="str">
        <f>IF(DASHBOARD_SEMAINE!B68="", "", "EUR")</f>
        <v>EUR</v>
      </c>
      <c r="E60" s="3" t="str">
        <f>IF(DASHBOARD_SEMAINE!B68="", "", "Virement Semaine - " &amp; DASHBOARD_SEMAINE!B68)</f>
        <v>Virement Semaine - Sadibou Diatta</v>
      </c>
    </row>
    <row r="61" ht="24" customHeight="1" spans="1:5" x14ac:dyDescent="0.25">
      <c r="A61" s="65" t="str">
        <f>IF(DASHBOARD_SEMAINE!B69="", "", DASHBOARD_SEMAINE!B69)</f>
        <v>Samir Laazibi</v>
      </c>
      <c r="B61" s="66" t="str">
        <f>IF(DASHBOARD_SEMAINE!B69="", "", DASHBOARD_SEMAINE!S69)</f>
        <v/>
      </c>
      <c r="C61" s="67" t="str">
        <f>IF(OR(DASHBOARD_SEMAINE!B69="", DASHBOARD_SEMAINE!R69&lt;=0), "", ROUND(DASHBOARD_SEMAINE!R69, 2))</f>
        <v/>
      </c>
      <c r="D61" s="68" t="str">
        <f>IF(DASHBOARD_SEMAINE!B69="", "", "EUR")</f>
        <v>EUR</v>
      </c>
      <c r="E61" s="3" t="str">
        <f>IF(DASHBOARD_SEMAINE!B69="", "", "Virement Semaine - " &amp; DASHBOARD_SEMAINE!B69)</f>
        <v>Virement Semaine - Samir Laazibi</v>
      </c>
    </row>
    <row r="62" ht="24" customHeight="1" spans="1:5" x14ac:dyDescent="0.25">
      <c r="A62" s="65" t="str">
        <f>IF(DASHBOARD_SEMAINE!B70="", "", DASHBOARD_SEMAINE!B70)</f>
        <v>Siré Cyril Niakaté</v>
      </c>
      <c r="B62" s="69" t="str">
        <f>IF(DASHBOARD_SEMAINE!B70="", "", DASHBOARD_SEMAINE!S70)</f>
        <v>FR7630006000010000000000189</v>
      </c>
      <c r="C62" s="67">
        <f>IF(OR(DASHBOARD_SEMAINE!B70="", DASHBOARD_SEMAINE!R70&lt;=0), "", ROUND(DASHBOARD_SEMAINE!R70, 2))</f>
        <v>170.56</v>
      </c>
      <c r="D62" s="68" t="str">
        <f>IF(DASHBOARD_SEMAINE!B70="", "", "EUR")</f>
        <v>EUR</v>
      </c>
      <c r="E62" s="3" t="str">
        <f>IF(DASHBOARD_SEMAINE!B70="", "", "Virement Semaine - " &amp; DASHBOARD_SEMAINE!B70)</f>
        <v>Virement Semaine - Siré Cyril Niakaté</v>
      </c>
    </row>
    <row r="63" ht="24" customHeight="1" spans="1:5" x14ac:dyDescent="0.25">
      <c r="A63" s="65" t="str">
        <f>IF(DASHBOARD_SEMAINE!B71="", "", DASHBOARD_SEMAINE!B71)</f>
        <v>Sofiane Akli</v>
      </c>
      <c r="B63" s="66" t="str">
        <f>IF(DASHBOARD_SEMAINE!B71="", "", DASHBOARD_SEMAINE!S71)</f>
        <v/>
      </c>
      <c r="C63" s="67">
        <f>IF(OR(DASHBOARD_SEMAINE!B71="", DASHBOARD_SEMAINE!R71&lt;=0), "", ROUND(DASHBOARD_SEMAINE!R71, 2))</f>
        <v>53.01</v>
      </c>
      <c r="D63" s="68" t="str">
        <f>IF(DASHBOARD_SEMAINE!B71="", "", "EUR")</f>
        <v>EUR</v>
      </c>
      <c r="E63" s="3" t="str">
        <f>IF(DASHBOARD_SEMAINE!B71="", "", "Virement Semaine - " &amp; DASHBOARD_SEMAINE!B71)</f>
        <v>Virement Semaine - Sofiane Akli</v>
      </c>
    </row>
    <row r="64" ht="24" customHeight="1" spans="1:5" x14ac:dyDescent="0.25">
      <c r="A64" s="65" t="str">
        <f>IF(DASHBOARD_SEMAINE!B72="", "", DASHBOARD_SEMAINE!B72)</f>
        <v>Souleymane Sokhona</v>
      </c>
      <c r="B64" s="66" t="str">
        <f>IF(DASHBOARD_SEMAINE!B72="", "", DASHBOARD_SEMAINE!S72)</f>
        <v/>
      </c>
      <c r="C64" s="67" t="str">
        <f>IF(OR(DASHBOARD_SEMAINE!B72="", DASHBOARD_SEMAINE!R72&lt;=0), "", ROUND(DASHBOARD_SEMAINE!R72, 2))</f>
        <v/>
      </c>
      <c r="D64" s="68" t="str">
        <f>IF(DASHBOARD_SEMAINE!B72="", "", "EUR")</f>
        <v>EUR</v>
      </c>
      <c r="E64" s="3" t="str">
        <f>IF(DASHBOARD_SEMAINE!B72="", "", "Virement Semaine - " &amp; DASHBOARD_SEMAINE!B72)</f>
        <v>Virement Semaine - Souleymane Sokhona</v>
      </c>
    </row>
    <row r="65" ht="24" customHeight="1" spans="1:5" x14ac:dyDescent="0.25">
      <c r="A65" s="65" t="str">
        <f>IF(DASHBOARD_SEMAINE!B73="", "", DASHBOARD_SEMAINE!B73)</f>
        <v>Youcef Kherfouche</v>
      </c>
      <c r="B65" s="66" t="str">
        <f>IF(DASHBOARD_SEMAINE!B73="", "", DASHBOARD_SEMAINE!S73)</f>
        <v/>
      </c>
      <c r="C65" s="67">
        <f>IF(OR(DASHBOARD_SEMAINE!B73="", DASHBOARD_SEMAINE!R73&lt;=0), "", ROUND(DASHBOARD_SEMAINE!R73, 2))</f>
        <v>75.71</v>
      </c>
      <c r="D65" s="68" t="str">
        <f>IF(DASHBOARD_SEMAINE!B73="", "", "EUR")</f>
        <v>EUR</v>
      </c>
      <c r="E65" s="3" t="str">
        <f>IF(DASHBOARD_SEMAINE!B73="", "", "Virement Semaine - " &amp; DASHBOARD_SEMAINE!B73)</f>
        <v>Virement Semaine - Youcef Kherfouche</v>
      </c>
    </row>
    <row r="66" ht="24" customHeight="1" spans="1:5" x14ac:dyDescent="0.25">
      <c r="A66" s="65" t="str">
        <f>IF(DASHBOARD_SEMAINE!B74="", "", DASHBOARD_SEMAINE!B74)</f>
        <v>Younoussa Bah</v>
      </c>
      <c r="B66" s="66" t="str">
        <f>IF(DASHBOARD_SEMAINE!B74="", "", DASHBOARD_SEMAINE!S74)</f>
        <v/>
      </c>
      <c r="C66" s="67">
        <f>IF(OR(DASHBOARD_SEMAINE!B74="", DASHBOARD_SEMAINE!R74&lt;=0), "", ROUND(DASHBOARD_SEMAINE!R74, 2))</f>
        <v>53.3</v>
      </c>
      <c r="D66" s="68" t="str">
        <f>IF(DASHBOARD_SEMAINE!B74="", "", "EUR")</f>
        <v>EUR</v>
      </c>
      <c r="E66" s="3" t="str">
        <f>IF(DASHBOARD_SEMAINE!B74="", "", "Virement Semaine - " &amp; DASHBOARD_SEMAINE!B74)</f>
        <v>Virement Semaine - Younoussa Bah</v>
      </c>
    </row>
    <row r="67" ht="24" customHeight="1" spans="1:5" x14ac:dyDescent="0.25">
      <c r="A67" s="65" t="str">
        <f>IF(DASHBOARD_SEMAINE!B75="", "", DASHBOARD_SEMAINE!B75)</f>
        <v>Ziaed Hamila</v>
      </c>
      <c r="B67" s="66" t="str">
        <f>IF(DASHBOARD_SEMAINE!B75="", "", DASHBOARD_SEMAINE!S75)</f>
        <v/>
      </c>
      <c r="C67" s="67">
        <f>IF(OR(DASHBOARD_SEMAINE!B75="", DASHBOARD_SEMAINE!R75&lt;=0), "", ROUND(DASHBOARD_SEMAINE!R75, 2))</f>
        <v>658.12</v>
      </c>
      <c r="D67" s="68" t="str">
        <f>IF(DASHBOARD_SEMAINE!B75="", "", "EUR")</f>
        <v>EUR</v>
      </c>
      <c r="E67" s="3" t="str">
        <f>IF(DASHBOARD_SEMAINE!B75="", "", "Virement Semaine - " &amp; DASHBOARD_SEMAINE!B75)</f>
        <v>Virement Semaine - Ziaed Hamila</v>
      </c>
    </row>
    <row r="68" ht="24" customHeight="1" spans="1:5" x14ac:dyDescent="0.25">
      <c r="A68" s="65" t="str">
        <f>IF(DASHBOARD_SEMAINE!B76="", "", DASHBOARD_SEMAINE!B76)</f>
        <v>Ali Kara</v>
      </c>
      <c r="B68" s="66" t="str">
        <f>IF(DASHBOARD_SEMAINE!B76="", "", DASHBOARD_SEMAINE!S76)</f>
        <v/>
      </c>
      <c r="C68" s="67">
        <f>IF(OR(DASHBOARD_SEMAINE!B76="", DASHBOARD_SEMAINE!R76&lt;=0), "", ROUND(DASHBOARD_SEMAINE!R76, 2))</f>
        <v>228.03</v>
      </c>
      <c r="D68" s="68" t="str">
        <f>IF(DASHBOARD_SEMAINE!B76="", "", "EUR")</f>
        <v>EUR</v>
      </c>
      <c r="E68" s="3" t="str">
        <f>IF(DASHBOARD_SEMAINE!B76="", "", "Virement Semaine - " &amp; DASHBOARD_SEMAINE!B76)</f>
        <v>Virement Semaine - Ali Kara</v>
      </c>
    </row>
    <row r="69" ht="24" customHeight="1" spans="1:5" x14ac:dyDescent="0.25">
      <c r="A69" s="65" t="str">
        <f>IF(DASHBOARD_SEMAINE!B77="", "", DASHBOARD_SEMAINE!B77)</f>
        <v>Stephane Kouassi</v>
      </c>
      <c r="B69" s="66" t="str">
        <f>IF(DASHBOARD_SEMAINE!B77="", "", DASHBOARD_SEMAINE!S77)</f>
        <v/>
      </c>
      <c r="C69" s="67" t="str">
        <f>IF(OR(DASHBOARD_SEMAINE!B77="", DASHBOARD_SEMAINE!R77&lt;=0), "", ROUND(DASHBOARD_SEMAINE!R77, 2))</f>
        <v/>
      </c>
      <c r="D69" s="68" t="str">
        <f>IF(DASHBOARD_SEMAINE!B77="", "", "EUR")</f>
        <v>EUR</v>
      </c>
      <c r="E69" s="3" t="str">
        <f>IF(DASHBOARD_SEMAINE!B77="", "", "Virement Semaine - " &amp; DASHBOARD_SEMAINE!B77)</f>
        <v>Virement Semaine - Stephane Kouassi</v>
      </c>
    </row>
    <row r="70" ht="24" customHeight="1" spans="1:5" x14ac:dyDescent="0.25">
      <c r="A70" s="65" t="str">
        <f>IF(DASHBOARD_SEMAINE!B78="", "", DASHBOARD_SEMAINE!B78)</f>
        <v>Rayen Klai</v>
      </c>
      <c r="B70" s="66" t="str">
        <f>IF(DASHBOARD_SEMAINE!B78="", "", DASHBOARD_SEMAINE!S78)</f>
        <v/>
      </c>
      <c r="C70" s="67" t="str">
        <f>IF(OR(DASHBOARD_SEMAINE!B78="", DASHBOARD_SEMAINE!R78&lt;=0), "", ROUND(DASHBOARD_SEMAINE!R78, 2))</f>
        <v/>
      </c>
      <c r="D70" s="68" t="str">
        <f>IF(DASHBOARD_SEMAINE!B78="", "", "EUR")</f>
        <v>EUR</v>
      </c>
      <c r="E70" s="3" t="str">
        <f>IF(DASHBOARD_SEMAINE!B78="", "", "Virement Semaine - " &amp; DASHBOARD_SEMAINE!B78)</f>
        <v>Virement Semaine - Rayen Klai</v>
      </c>
    </row>
    <row r="71" ht="24" customHeight="1" spans="1:5" x14ac:dyDescent="0.25">
      <c r="A71" s="65" t="str">
        <f>IF(DASHBOARD_SEMAINE!B79="", "", DASHBOARD_SEMAINE!B79)</f>
        <v>Yahia Zemani</v>
      </c>
      <c r="B71" s="66" t="str">
        <f>IF(DASHBOARD_SEMAINE!B79="", "", DASHBOARD_SEMAINE!S79)</f>
        <v/>
      </c>
      <c r="C71" s="67" t="str">
        <f>IF(OR(DASHBOARD_SEMAINE!B79="", DASHBOARD_SEMAINE!R79&lt;=0), "", ROUND(DASHBOARD_SEMAINE!R79, 2))</f>
        <v/>
      </c>
      <c r="D71" s="68" t="str">
        <f>IF(DASHBOARD_SEMAINE!B79="", "", "EUR")</f>
        <v>EUR</v>
      </c>
      <c r="E71" s="3" t="str">
        <f>IF(DASHBOARD_SEMAINE!B79="", "", "Virement Semaine - " &amp; DASHBOARD_SEMAINE!B79)</f>
        <v>Virement Semaine - Yahia Zemani</v>
      </c>
    </row>
    <row r="72" ht="24" customHeight="1" spans="1:5" x14ac:dyDescent="0.25">
      <c r="A72" s="65" t="str">
        <f>IF(DASHBOARD_SEMAINE!B80="", "", DASHBOARD_SEMAINE!B80)</f>
        <v>Hasan Emin Coskun</v>
      </c>
      <c r="B72" s="66" t="str">
        <f>IF(DASHBOARD_SEMAINE!B80="", "", DASHBOARD_SEMAINE!S80)</f>
        <v/>
      </c>
      <c r="C72" s="67" t="str">
        <f>IF(OR(DASHBOARD_SEMAINE!B80="", DASHBOARD_SEMAINE!R80&lt;=0), "", ROUND(DASHBOARD_SEMAINE!R80, 2))</f>
        <v/>
      </c>
      <c r="D72" s="68" t="str">
        <f>IF(DASHBOARD_SEMAINE!B80="", "", "EUR")</f>
        <v>EUR</v>
      </c>
      <c r="E72" s="3" t="str">
        <f>IF(DASHBOARD_SEMAINE!B80="", "", "Virement Semaine - " &amp; DASHBOARD_SEMAINE!B80)</f>
        <v>Virement Semaine - Hasan Emin Coskun</v>
      </c>
    </row>
    <row r="73" ht="24" customHeight="1" spans="1:5" x14ac:dyDescent="0.25">
      <c r="A73" s="65" t="str">
        <f>IF(DASHBOARD_SEMAINE!B81="", "", DASHBOARD_SEMAINE!B81)</f>
        <v>Raphaël Ernest Amié Vimond</v>
      </c>
      <c r="B73" s="66" t="str">
        <f>IF(DASHBOARD_SEMAINE!B81="", "", DASHBOARD_SEMAINE!S81)</f>
        <v/>
      </c>
      <c r="C73" s="67" t="str">
        <f>IF(OR(DASHBOARD_SEMAINE!B81="", DASHBOARD_SEMAINE!R81&lt;=0), "", ROUND(DASHBOARD_SEMAINE!R81, 2))</f>
        <v/>
      </c>
      <c r="D73" s="68" t="str">
        <f>IF(DASHBOARD_SEMAINE!B81="", "", "EUR")</f>
        <v>EUR</v>
      </c>
      <c r="E73" s="3" t="str">
        <f>IF(DASHBOARD_SEMAINE!B81="", "", "Virement Semaine - " &amp; DASHBOARD_SEMAINE!B81)</f>
        <v>Virement Semaine - Raphaël Ernest Amié Vimond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workbookViewId="0"/>
  </sheetViews>
  <sheetFormatPr defaultRowHeight="15" outlineLevelRow="0" outlineLevelCol="0" x14ac:dyDescent="55"/>
  <cols>
    <col min="1" max="1" width="7" customWidth="1"/>
    <col min="2" max="2" width="28" customWidth="1"/>
    <col min="3" max="4" width="24" customWidth="1"/>
    <col min="5" max="6" width="28" customWidth="1"/>
    <col min="7" max="8" width="18" customWidth="1"/>
    <col min="9" max="9" width="22" customWidth="1"/>
    <col min="10" max="10" width="18" customWidth="1"/>
    <col min="11" max="11" width="22" customWidth="1"/>
    <col min="12" max="12" width="18" customWidth="1"/>
    <col min="13" max="13" width="25" customWidth="1"/>
    <col min="14" max="14" width="16" customWidth="1"/>
    <col min="15" max="17" width="14" customWidth="1"/>
    <col min="18" max="18" width="28" customWidth="1"/>
    <col min="19" max="19" width="34" customWidth="1"/>
  </cols>
  <sheetData>
    <row r="1" ht="40" customHeight="1" spans="2:19" x14ac:dyDescent="0.25">
      <c r="B1" s="70" t="s">
        <v>552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ht="22" customHeight="1" spans="2:19" x14ac:dyDescent="0.25">
      <c r="B2" s="71" t="s">
        <v>553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4" ht="20" customHeight="1" spans="1:19" x14ac:dyDescent="0.25">
      <c r="B4" s="22" t="s">
        <v>515</v>
      </c>
      <c r="C4" s="22"/>
      <c r="D4" s="22"/>
      <c r="F4" s="23" t="s">
        <v>516</v>
      </c>
      <c r="G4" s="23"/>
      <c r="H4" s="23"/>
      <c r="J4" s="24" t="s">
        <v>517</v>
      </c>
      <c r="K4" s="24"/>
      <c r="L4" s="24"/>
      <c r="N4" s="25" t="s">
        <v>518</v>
      </c>
      <c r="O4" s="25"/>
      <c r="P4" s="25"/>
    </row>
    <row r="5" ht="32" customHeight="1" spans="1:19" x14ac:dyDescent="0.25">
      <c r="B5" s="26">
        <v>9963.33</v>
      </c>
      <c r="C5" s="26"/>
      <c r="D5" s="26"/>
      <c r="F5" s="27">
        <v>4673.84</v>
      </c>
      <c r="G5" s="27"/>
      <c r="H5" s="27"/>
      <c r="J5" s="28">
        <v>2310</v>
      </c>
      <c r="K5" s="28"/>
      <c r="L5" s="28"/>
      <c r="N5" s="29">
        <v>7358.33</v>
      </c>
      <c r="O5" s="29"/>
      <c r="P5" s="29"/>
    </row>
    <row r="6" spans="1:19" x14ac:dyDescent="0.25"/>
    <row r="7" spans="1:19" x14ac:dyDescent="0.25"/>
    <row r="8" ht="24" customHeight="1" spans="1:19" x14ac:dyDescent="0.25">
      <c r="A8" s="30" t="s">
        <v>519</v>
      </c>
      <c r="B8" s="30"/>
      <c r="C8" s="31" t="s">
        <v>520</v>
      </c>
      <c r="D8" s="31"/>
      <c r="E8" s="32" t="s">
        <v>521</v>
      </c>
      <c r="F8" s="32"/>
      <c r="G8" s="32"/>
      <c r="H8" s="32"/>
      <c r="I8" s="33" t="s">
        <v>522</v>
      </c>
      <c r="J8" s="33"/>
      <c r="K8" s="34" t="s">
        <v>523</v>
      </c>
      <c r="L8" s="34"/>
      <c r="M8" s="35" t="s">
        <v>524</v>
      </c>
      <c r="N8" s="36" t="s">
        <v>525</v>
      </c>
      <c r="O8" s="36"/>
      <c r="P8" s="36"/>
      <c r="Q8" s="36"/>
      <c r="R8" s="37" t="s">
        <v>526</v>
      </c>
      <c r="S8" s="38" t="s">
        <v>527</v>
      </c>
    </row>
    <row r="9" ht="32" customHeight="1" spans="1:19" x14ac:dyDescent="0.25">
      <c r="A9" s="39" t="s">
        <v>267</v>
      </c>
      <c r="B9" s="39" t="s">
        <v>528</v>
      </c>
      <c r="C9" s="39" t="s">
        <v>529</v>
      </c>
      <c r="D9" s="39" t="s">
        <v>530</v>
      </c>
      <c r="E9" s="39" t="s">
        <v>531</v>
      </c>
      <c r="F9" s="39" t="s">
        <v>532</v>
      </c>
      <c r="G9" s="39" t="s">
        <v>533</v>
      </c>
      <c r="H9" s="39" t="s">
        <v>534</v>
      </c>
      <c r="I9" s="40" t="s">
        <v>535</v>
      </c>
      <c r="J9" s="41" t="s">
        <v>536</v>
      </c>
      <c r="K9" s="42" t="s">
        <v>537</v>
      </c>
      <c r="L9" s="43" t="s">
        <v>538</v>
      </c>
      <c r="M9" s="44" t="s">
        <v>539</v>
      </c>
      <c r="N9" s="39" t="s">
        <v>540</v>
      </c>
      <c r="O9" s="39" t="s">
        <v>541</v>
      </c>
      <c r="P9" s="39" t="s">
        <v>542</v>
      </c>
      <c r="Q9" s="39" t="s">
        <v>543</v>
      </c>
      <c r="R9" s="45" t="s">
        <v>544</v>
      </c>
      <c r="S9" s="46" t="s">
        <v>545</v>
      </c>
    </row>
    <row r="10" ht="28" customHeight="1" spans="1:19" x14ac:dyDescent="0.25">
      <c r="A10" s="8" t="s">
        <v>277</v>
      </c>
      <c r="B10" s="9" t="s">
        <v>278</v>
      </c>
      <c r="C10" s="10" t="s">
        <v>70</v>
      </c>
      <c r="D10" s="10" t="s">
        <v>279</v>
      </c>
      <c r="E10" s="47" t="s">
        <v>280</v>
      </c>
      <c r="F10" s="47" t="s">
        <v>279</v>
      </c>
      <c r="G10" s="48" t="s">
        <v>281</v>
      </c>
      <c r="H10" s="48" t="s">
        <v>279</v>
      </c>
      <c r="I10" s="49">
        <v>14.08</v>
      </c>
      <c r="J10" s="50">
        <f>IF(B10="", "", IF(OR(C10="", C10="—"), 0, IFNA(XLOOKUP(C10, DATA_UBER!A:A, DATA_UBER!J:J, 0), 0)))</f>
      </c>
      <c r="K10" s="49">
        <f>IF(B10="", "", IF(OR(D10="", D10="—"), 0, IFNA(XLOOKUP(D10, DATA_BOLT!A:A, DATA_BOLT!Z:Z, 0), 0)))</f>
      </c>
      <c r="L10" s="50">
        <f>IF(B10="", "", IF(OR(D10="", D10="—"), 0, IFNA(XLOOKUP(D10, DATA_BOLT!A:A, DATA_BOLT!G:G, 0), 0)))</f>
      </c>
      <c r="M10" s="49">
        <v>14.08</v>
      </c>
      <c r="N10" s="49">
        <v>50</v>
      </c>
      <c r="O10" s="49">
        <v>0</v>
      </c>
      <c r="P10" s="49">
        <v>0</v>
      </c>
      <c r="Q10" s="49">
        <v>0</v>
      </c>
      <c r="R10" s="51">
        <v>-35.92</v>
      </c>
      <c r="S10" s="12" t="s">
        <v>279</v>
      </c>
    </row>
    <row r="11" ht="28" customHeight="1" spans="1:19" x14ac:dyDescent="0.25">
      <c r="A11" s="14" t="s">
        <v>282</v>
      </c>
      <c r="B11" s="15" t="s">
        <v>283</v>
      </c>
      <c r="C11" s="16" t="s">
        <v>67</v>
      </c>
      <c r="D11" s="16" t="s">
        <v>132</v>
      </c>
      <c r="E11" s="52" t="s">
        <v>133</v>
      </c>
      <c r="F11" s="52" t="s">
        <v>133</v>
      </c>
      <c r="G11" s="53" t="s">
        <v>134</v>
      </c>
      <c r="H11" s="53" t="s">
        <v>134</v>
      </c>
      <c r="I11" s="54">
        <v>93.96</v>
      </c>
      <c r="J11" s="50">
        <f>IF(B11="", "", IF(OR(C11="", C11="—"), 0, IFNA(XLOOKUP(C11, DATA_UBER!A:A, DATA_UBER!J:J, 0), 0)))</f>
      </c>
      <c r="K11" s="54">
        <v>133.22</v>
      </c>
      <c r="L11" s="50">
        <v>361.9</v>
      </c>
      <c r="M11" s="54">
        <v>227.18</v>
      </c>
      <c r="N11" s="54">
        <v>50</v>
      </c>
      <c r="O11" s="54">
        <v>0</v>
      </c>
      <c r="P11" s="54">
        <v>0</v>
      </c>
      <c r="Q11" s="54">
        <v>0</v>
      </c>
      <c r="R11" s="55">
        <v>177.18</v>
      </c>
      <c r="S11" s="18" t="s">
        <v>279</v>
      </c>
    </row>
    <row r="12" ht="28" customHeight="1" spans="1:19" x14ac:dyDescent="0.25">
      <c r="A12" s="8" t="s">
        <v>284</v>
      </c>
      <c r="B12" s="9" t="s">
        <v>58</v>
      </c>
      <c r="C12" s="10" t="s">
        <v>58</v>
      </c>
      <c r="D12" s="10" t="s">
        <v>279</v>
      </c>
      <c r="E12" s="47" t="s">
        <v>285</v>
      </c>
      <c r="F12" s="47" t="s">
        <v>279</v>
      </c>
      <c r="G12" s="48" t="s">
        <v>286</v>
      </c>
      <c r="H12" s="48" t="s">
        <v>279</v>
      </c>
      <c r="I12" s="49">
        <v>162.02</v>
      </c>
      <c r="J12" s="50">
        <f>IF(B12="", "", IF(OR(C12="", C12="—"), 0, IFNA(XLOOKUP(C12, DATA_UBER!A:A, DATA_UBER!J:J, 0), 0)))</f>
      </c>
      <c r="K12" s="49">
        <f>IF(B12="", "", IF(OR(D12="", D12="—"), 0, IFNA(XLOOKUP(D12, DATA_BOLT!A:A, DATA_BOLT!Z:Z, 0), 0)))</f>
      </c>
      <c r="L12" s="50">
        <f>IF(B12="", "", IF(OR(D12="", D12="—"), 0, IFNA(XLOOKUP(D12, DATA_BOLT!A:A, DATA_BOLT!G:G, 0), 0)))</f>
      </c>
      <c r="M12" s="49">
        <v>162.02</v>
      </c>
      <c r="N12" s="49">
        <v>50</v>
      </c>
      <c r="O12" s="49">
        <v>0</v>
      </c>
      <c r="P12" s="49">
        <v>0</v>
      </c>
      <c r="Q12" s="49">
        <v>0</v>
      </c>
      <c r="R12" s="55">
        <v>112.02</v>
      </c>
      <c r="S12" s="12" t="s">
        <v>279</v>
      </c>
    </row>
    <row r="13" ht="28" customHeight="1" spans="1:19" x14ac:dyDescent="0.25">
      <c r="A13" s="14" t="s">
        <v>287</v>
      </c>
      <c r="B13" s="15" t="s">
        <v>288</v>
      </c>
      <c r="C13" s="16" t="s">
        <v>103</v>
      </c>
      <c r="D13" s="16" t="s">
        <v>279</v>
      </c>
      <c r="E13" s="52" t="s">
        <v>289</v>
      </c>
      <c r="F13" s="52" t="s">
        <v>279</v>
      </c>
      <c r="G13" s="53" t="s">
        <v>290</v>
      </c>
      <c r="H13" s="53" t="s">
        <v>279</v>
      </c>
      <c r="I13" s="54">
        <v>159.89</v>
      </c>
      <c r="J13" s="50">
        <f>IF(B13="", "", IF(OR(C13="", C13="—"), 0, IFNA(XLOOKUP(C13, DATA_UBER!A:A, DATA_UBER!J:J, 0), 0)))</f>
      </c>
      <c r="K13" s="54">
        <f>IF(B13="", "", IF(OR(D13="", D13="—"), 0, IFNA(XLOOKUP(D13, DATA_BOLT!A:A, DATA_BOLT!Z:Z, 0), 0)))</f>
      </c>
      <c r="L13" s="50">
        <f>IF(B13="", "", IF(OR(D13="", D13="—"), 0, IFNA(XLOOKUP(D13, DATA_BOLT!A:A, DATA_BOLT!G:G, 0), 0)))</f>
      </c>
      <c r="M13" s="54">
        <v>159.89</v>
      </c>
      <c r="N13" s="54">
        <v>50</v>
      </c>
      <c r="O13" s="54">
        <v>137.5</v>
      </c>
      <c r="P13" s="54">
        <v>0</v>
      </c>
      <c r="Q13" s="54">
        <v>0</v>
      </c>
      <c r="R13" s="51">
        <v>-27.61</v>
      </c>
      <c r="S13" s="18" t="s">
        <v>279</v>
      </c>
    </row>
    <row r="14" ht="28" customHeight="1" spans="1:19" x14ac:dyDescent="0.25">
      <c r="A14" s="8" t="s">
        <v>291</v>
      </c>
      <c r="B14" s="9" t="s">
        <v>226</v>
      </c>
      <c r="C14" s="10" t="s">
        <v>88</v>
      </c>
      <c r="D14" s="10" t="s">
        <v>226</v>
      </c>
      <c r="E14" s="47" t="s">
        <v>292</v>
      </c>
      <c r="F14" s="47" t="s">
        <v>227</v>
      </c>
      <c r="G14" s="48" t="s">
        <v>228</v>
      </c>
      <c r="H14" s="48" t="s">
        <v>228</v>
      </c>
      <c r="I14" s="49">
        <v>68.55</v>
      </c>
      <c r="J14" s="50">
        <f>IF(B14="", "", IF(OR(C14="", C14="—"), 0, IFNA(XLOOKUP(C14, DATA_UBER!A:A, DATA_UBER!J:J, 0), 0)))</f>
      </c>
      <c r="K14" s="49">
        <v>50.92</v>
      </c>
      <c r="L14" s="50">
        <f>IF(B14="", "", IF(OR(D14="", D14="—"), 0, IFNA(XLOOKUP(D14, DATA_BOLT!A:A, DATA_BOLT!G:G, 0), 0)))</f>
      </c>
      <c r="M14" s="49">
        <v>119.47</v>
      </c>
      <c r="N14" s="49">
        <v>50</v>
      </c>
      <c r="O14" s="49">
        <v>0</v>
      </c>
      <c r="P14" s="49">
        <v>0</v>
      </c>
      <c r="Q14" s="49">
        <v>0</v>
      </c>
      <c r="R14" s="55">
        <v>69.47</v>
      </c>
      <c r="S14" s="12" t="s">
        <v>279</v>
      </c>
    </row>
    <row r="15" ht="28" customHeight="1" spans="1:19" x14ac:dyDescent="0.25">
      <c r="A15" s="14" t="s">
        <v>293</v>
      </c>
      <c r="B15" s="15" t="s">
        <v>294</v>
      </c>
      <c r="C15" s="16" t="s">
        <v>294</v>
      </c>
      <c r="D15" s="16" t="s">
        <v>279</v>
      </c>
      <c r="E15" s="52" t="s">
        <v>295</v>
      </c>
      <c r="F15" s="52" t="s">
        <v>279</v>
      </c>
      <c r="G15" s="53" t="s">
        <v>296</v>
      </c>
      <c r="H15" s="53" t="s">
        <v>279</v>
      </c>
      <c r="I15" s="54">
        <f>IF(B15="", "", IF(OR(C15="", C15="—"), 0, IFNA(XLOOKUP(C15, DATA_UBER!A:A, DATA_UBER!Z:Z, 0), 0)))</f>
      </c>
      <c r="J15" s="50">
        <f>IF(B15="", "", IF(OR(C15="", C15="—"), 0, IFNA(XLOOKUP(C15, DATA_UBER!A:A, DATA_UBER!J:J, 0), 0)))</f>
      </c>
      <c r="K15" s="54">
        <f>IF(B15="", "", IF(OR(D15="", D15="—"), 0, IFNA(XLOOKUP(D15, DATA_BOLT!A:A, DATA_BOLT!Z:Z, 0), 0)))</f>
      </c>
      <c r="L15" s="50">
        <f>IF(B15="", "", IF(OR(D15="", D15="—"), 0, IFNA(XLOOKUP(D15, DATA_BOLT!A:A, DATA_BOLT!G:G, 0), 0)))</f>
      </c>
      <c r="M15" s="54">
        <f>IF(B15="", "", I15 + K15)</f>
      </c>
      <c r="N15" s="54">
        <f>IF(B15="", "", IF(OR(I15&lt;&gt;0, K15&lt;&gt;0, J15&lt;&gt;0, L15&lt;&gt;0), IFNA(XLOOKUP(B15, ANNUAIRE_FLOTTE!B:B, ANNUAIRE_FLOTTE!J:J, 50), 50), 0))</f>
      </c>
      <c r="O15" s="54">
        <v>0</v>
      </c>
      <c r="P15" s="54">
        <v>0</v>
      </c>
      <c r="Q15" s="54">
        <v>0</v>
      </c>
      <c r="R15" s="56">
        <f>IF(B15="", "", M15 - N15 - O15 - Q15 + P15)</f>
      </c>
      <c r="S15" s="18" t="s">
        <v>279</v>
      </c>
    </row>
    <row r="16" ht="28" customHeight="1" spans="1:19" x14ac:dyDescent="0.25">
      <c r="A16" s="8" t="s">
        <v>297</v>
      </c>
      <c r="B16" s="9" t="s">
        <v>298</v>
      </c>
      <c r="C16" s="10" t="s">
        <v>298</v>
      </c>
      <c r="D16" s="10" t="s">
        <v>156</v>
      </c>
      <c r="E16" s="47" t="s">
        <v>299</v>
      </c>
      <c r="F16" s="47" t="s">
        <v>157</v>
      </c>
      <c r="G16" s="48" t="s">
        <v>158</v>
      </c>
      <c r="H16" s="48" t="s">
        <v>158</v>
      </c>
      <c r="I16" s="49">
        <f>IF(B16="", "", IF(OR(C16="", C16="—"), 0, IFNA(XLOOKUP(C16, DATA_UBER!A:A, DATA_UBER!Z:Z, 0), 0)))</f>
      </c>
      <c r="J16" s="50">
        <f>IF(B16="", "", IF(OR(C16="", C16="—"), 0, IFNA(XLOOKUP(C16, DATA_UBER!A:A, DATA_UBER!J:J, 0), 0)))</f>
      </c>
      <c r="K16" s="49">
        <v>350.58</v>
      </c>
      <c r="L16" s="50">
        <v>136.7</v>
      </c>
      <c r="M16" s="49">
        <v>350.58</v>
      </c>
      <c r="N16" s="49">
        <v>60</v>
      </c>
      <c r="O16" s="49">
        <v>0</v>
      </c>
      <c r="P16" s="49">
        <v>0</v>
      </c>
      <c r="Q16" s="49">
        <v>0</v>
      </c>
      <c r="R16" s="55">
        <v>290.58</v>
      </c>
      <c r="S16" s="12" t="s">
        <v>279</v>
      </c>
    </row>
    <row r="17" ht="28" customHeight="1" spans="1:19" x14ac:dyDescent="0.25">
      <c r="A17" s="14" t="s">
        <v>300</v>
      </c>
      <c r="B17" s="15" t="s">
        <v>160</v>
      </c>
      <c r="C17" s="16" t="s">
        <v>301</v>
      </c>
      <c r="D17" s="16" t="s">
        <v>160</v>
      </c>
      <c r="E17" s="52" t="s">
        <v>161</v>
      </c>
      <c r="F17" s="52" t="s">
        <v>161</v>
      </c>
      <c r="G17" s="53" t="s">
        <v>162</v>
      </c>
      <c r="H17" s="53" t="s">
        <v>162</v>
      </c>
      <c r="I17" s="54">
        <f>IF(B17="", "", IF(OR(C17="", C17="—"), 0, IFNA(XLOOKUP(C17, DATA_UBER!A:A, DATA_UBER!Z:Z, 0), 0)))</f>
      </c>
      <c r="J17" s="50">
        <f>IF(B17="", "", IF(OR(C17="", C17="—"), 0, IFNA(XLOOKUP(C17, DATA_UBER!A:A, DATA_UBER!J:J, 0), 0)))</f>
      </c>
      <c r="K17" s="54">
        <v>330.54</v>
      </c>
      <c r="L17" s="50">
        <v>334.8</v>
      </c>
      <c r="M17" s="54">
        <v>330.54</v>
      </c>
      <c r="N17" s="54">
        <v>60</v>
      </c>
      <c r="O17" s="54">
        <v>0</v>
      </c>
      <c r="P17" s="54">
        <v>0</v>
      </c>
      <c r="Q17" s="54">
        <v>0</v>
      </c>
      <c r="R17" s="55">
        <v>270.54</v>
      </c>
      <c r="S17" s="18" t="s">
        <v>279</v>
      </c>
    </row>
    <row r="18" ht="28" customHeight="1" spans="1:19" x14ac:dyDescent="0.25">
      <c r="A18" s="8" t="s">
        <v>302</v>
      </c>
      <c r="B18" s="9" t="s">
        <v>303</v>
      </c>
      <c r="C18" s="10" t="s">
        <v>303</v>
      </c>
      <c r="D18" s="10" t="s">
        <v>303</v>
      </c>
      <c r="E18" s="47" t="s">
        <v>304</v>
      </c>
      <c r="F18" s="47" t="s">
        <v>304</v>
      </c>
      <c r="G18" s="48" t="s">
        <v>305</v>
      </c>
      <c r="H18" s="48" t="s">
        <v>305</v>
      </c>
      <c r="I18" s="49">
        <f>IF(B18="", "", IF(OR(C18="", C18="—"), 0, IFNA(XLOOKUP(C18, DATA_UBER!A:A, DATA_UBER!Z:Z, 0), 0)))</f>
      </c>
      <c r="J18" s="50">
        <f>IF(B18="", "", IF(OR(C18="", C18="—"), 0, IFNA(XLOOKUP(C18, DATA_UBER!A:A, DATA_UBER!J:J, 0), 0)))</f>
      </c>
      <c r="K18" s="49">
        <f>IF(B18="", "", IF(OR(D18="", D18="—"), 0, IFNA(XLOOKUP(D18, DATA_BOLT!A:A, DATA_BOLT!Z:Z, 0), 0)))</f>
      </c>
      <c r="L18" s="50">
        <f>IF(B18="", "", IF(OR(D18="", D18="—"), 0, IFNA(XLOOKUP(D18, DATA_BOLT!A:A, DATA_BOLT!G:G, 0), 0)))</f>
      </c>
      <c r="M18" s="49">
        <f>IF(B18="", "", I18 + K18)</f>
      </c>
      <c r="N18" s="49">
        <f>IF(B18="", "", IF(OR(I18&lt;&gt;0, K18&lt;&gt;0, J18&lt;&gt;0, L18&lt;&gt;0), IFNA(XLOOKUP(B18, ANNUAIRE_FLOTTE!B:B, ANNUAIRE_FLOTTE!J:J, 50), 50), 0))</f>
      </c>
      <c r="O18" s="49">
        <v>0</v>
      </c>
      <c r="P18" s="49">
        <v>0</v>
      </c>
      <c r="Q18" s="49">
        <v>0</v>
      </c>
      <c r="R18" s="57">
        <f>IF(B18="", "", M18 - N18 - O18 - Q18 + P18)</f>
      </c>
      <c r="S18" s="12" t="s">
        <v>279</v>
      </c>
    </row>
    <row r="19" ht="28" customHeight="1" spans="1:19" x14ac:dyDescent="0.25">
      <c r="A19" s="14" t="s">
        <v>306</v>
      </c>
      <c r="B19" s="15" t="s">
        <v>85</v>
      </c>
      <c r="C19" s="16" t="s">
        <v>85</v>
      </c>
      <c r="D19" s="16" t="s">
        <v>85</v>
      </c>
      <c r="E19" s="52" t="s">
        <v>180</v>
      </c>
      <c r="F19" s="52" t="s">
        <v>180</v>
      </c>
      <c r="G19" s="53" t="s">
        <v>181</v>
      </c>
      <c r="H19" s="53" t="s">
        <v>181</v>
      </c>
      <c r="I19" s="54">
        <v>159.28</v>
      </c>
      <c r="J19" s="50">
        <f>IF(B19="", "", IF(OR(C19="", C19="—"), 0, IFNA(XLOOKUP(C19, DATA_UBER!A:A, DATA_UBER!J:J, 0), 0)))</f>
      </c>
      <c r="K19" s="54">
        <v>182.63</v>
      </c>
      <c r="L19" s="50">
        <v>95</v>
      </c>
      <c r="M19" s="54">
        <v>341.91</v>
      </c>
      <c r="N19" s="54">
        <v>60</v>
      </c>
      <c r="O19" s="54">
        <v>0</v>
      </c>
      <c r="P19" s="54">
        <v>0</v>
      </c>
      <c r="Q19" s="54">
        <v>0</v>
      </c>
      <c r="R19" s="55">
        <v>281.91</v>
      </c>
      <c r="S19" s="18" t="s">
        <v>279</v>
      </c>
    </row>
    <row r="20" ht="28" customHeight="1" spans="1:19" x14ac:dyDescent="0.25">
      <c r="A20" s="8" t="s">
        <v>307</v>
      </c>
      <c r="B20" s="9" t="s">
        <v>199</v>
      </c>
      <c r="C20" s="10" t="s">
        <v>43</v>
      </c>
      <c r="D20" s="10" t="s">
        <v>199</v>
      </c>
      <c r="E20" s="47" t="s">
        <v>308</v>
      </c>
      <c r="F20" s="47" t="s">
        <v>200</v>
      </c>
      <c r="G20" s="48" t="s">
        <v>201</v>
      </c>
      <c r="H20" s="48" t="s">
        <v>201</v>
      </c>
      <c r="I20" s="49">
        <v>44.43</v>
      </c>
      <c r="J20" s="50">
        <f>IF(B20="", "", IF(OR(C20="", C20="—"), 0, IFNA(XLOOKUP(C20, DATA_UBER!A:A, DATA_UBER!J:J, 0), 0)))</f>
      </c>
      <c r="K20" s="49">
        <v>249.5</v>
      </c>
      <c r="L20" s="50">
        <v>90.3</v>
      </c>
      <c r="M20" s="49">
        <v>293.93</v>
      </c>
      <c r="N20" s="49">
        <v>60</v>
      </c>
      <c r="O20" s="49">
        <v>0</v>
      </c>
      <c r="P20" s="49">
        <v>0</v>
      </c>
      <c r="Q20" s="49">
        <v>0</v>
      </c>
      <c r="R20" s="55">
        <v>233.93</v>
      </c>
      <c r="S20" s="12" t="s">
        <v>279</v>
      </c>
    </row>
    <row r="21" ht="28" customHeight="1" spans="1:19" x14ac:dyDescent="0.25">
      <c r="A21" s="14" t="s">
        <v>309</v>
      </c>
      <c r="B21" s="15" t="s">
        <v>203</v>
      </c>
      <c r="C21" s="16" t="s">
        <v>310</v>
      </c>
      <c r="D21" s="16" t="s">
        <v>203</v>
      </c>
      <c r="E21" s="52" t="s">
        <v>311</v>
      </c>
      <c r="F21" s="52" t="s">
        <v>204</v>
      </c>
      <c r="G21" s="53" t="s">
        <v>205</v>
      </c>
      <c r="H21" s="53" t="s">
        <v>205</v>
      </c>
      <c r="I21" s="54">
        <f>IF(B21="", "", IF(OR(C21="", C21="—"), 0, IFNA(XLOOKUP(C21, DATA_UBER!A:A, DATA_UBER!Z:Z, 0), 0)))</f>
      </c>
      <c r="J21" s="50">
        <f>IF(B21="", "", IF(OR(C21="", C21="—"), 0, IFNA(XLOOKUP(C21, DATA_UBER!A:A, DATA_UBER!J:J, 0), 0)))</f>
      </c>
      <c r="K21" s="54">
        <v>551.91</v>
      </c>
      <c r="L21" s="50">
        <v>137.3</v>
      </c>
      <c r="M21" s="54">
        <v>551.91</v>
      </c>
      <c r="N21" s="54">
        <v>60</v>
      </c>
      <c r="O21" s="54">
        <v>0</v>
      </c>
      <c r="P21" s="54">
        <v>0</v>
      </c>
      <c r="Q21" s="54">
        <v>0</v>
      </c>
      <c r="R21" s="55">
        <v>491.91</v>
      </c>
      <c r="S21" s="18" t="s">
        <v>279</v>
      </c>
    </row>
    <row r="22" ht="28" customHeight="1" spans="1:19" x14ac:dyDescent="0.25">
      <c r="A22" s="8" t="s">
        <v>312</v>
      </c>
      <c r="B22" s="9" t="s">
        <v>313</v>
      </c>
      <c r="C22" s="10" t="s">
        <v>313</v>
      </c>
      <c r="D22" s="10" t="s">
        <v>279</v>
      </c>
      <c r="E22" s="47" t="s">
        <v>314</v>
      </c>
      <c r="F22" s="47" t="s">
        <v>279</v>
      </c>
      <c r="G22" s="48" t="s">
        <v>315</v>
      </c>
      <c r="H22" s="48" t="s">
        <v>279</v>
      </c>
      <c r="I22" s="49">
        <f>IF(B22="", "", IF(OR(C22="", C22="—"), 0, IFNA(XLOOKUP(C22, DATA_UBER!A:A, DATA_UBER!Z:Z, 0), 0)))</f>
      </c>
      <c r="J22" s="50">
        <f>IF(B22="", "", IF(OR(C22="", C22="—"), 0, IFNA(XLOOKUP(C22, DATA_UBER!A:A, DATA_UBER!J:J, 0), 0)))</f>
      </c>
      <c r="K22" s="49">
        <f>IF(B22="", "", IF(OR(D22="", D22="—"), 0, IFNA(XLOOKUP(D22, DATA_BOLT!A:A, DATA_BOLT!Z:Z, 0), 0)))</f>
      </c>
      <c r="L22" s="50">
        <f>IF(B22="", "", IF(OR(D22="", D22="—"), 0, IFNA(XLOOKUP(D22, DATA_BOLT!A:A, DATA_BOLT!G:G, 0), 0)))</f>
      </c>
      <c r="M22" s="49">
        <f>IF(B22="", "", I22 + K22)</f>
      </c>
      <c r="N22" s="49">
        <f>IF(B22="", "", IF(OR(I22&lt;&gt;0, K22&lt;&gt;0, J22&lt;&gt;0, L22&lt;&gt;0), IFNA(XLOOKUP(B22, ANNUAIRE_FLOTTE!B:B, ANNUAIRE_FLOTTE!J:J, 50), 50), 0))</f>
      </c>
      <c r="O22" s="49">
        <v>0</v>
      </c>
      <c r="P22" s="49">
        <v>0</v>
      </c>
      <c r="Q22" s="49">
        <v>0</v>
      </c>
      <c r="R22" s="57">
        <f>IF(B22="", "", M22 - N22 - O22 - Q22 + P22)</f>
      </c>
      <c r="S22" s="12" t="s">
        <v>279</v>
      </c>
    </row>
    <row r="23" ht="28" customHeight="1" spans="1:19" x14ac:dyDescent="0.25">
      <c r="A23" s="14" t="s">
        <v>316</v>
      </c>
      <c r="B23" s="15" t="s">
        <v>317</v>
      </c>
      <c r="C23" s="16" t="s">
        <v>317</v>
      </c>
      <c r="D23" s="16" t="s">
        <v>317</v>
      </c>
      <c r="E23" s="52" t="s">
        <v>318</v>
      </c>
      <c r="F23" s="52" t="s">
        <v>319</v>
      </c>
      <c r="G23" s="53" t="s">
        <v>320</v>
      </c>
      <c r="H23" s="53" t="s">
        <v>320</v>
      </c>
      <c r="I23" s="54">
        <f>IF(B23="", "", IF(OR(C23="", C23="—"), 0, IFNA(XLOOKUP(C23, DATA_UBER!A:A, DATA_UBER!Z:Z, 0), 0)))</f>
      </c>
      <c r="J23" s="50">
        <f>IF(B23="", "", IF(OR(C23="", C23="—"), 0, IFNA(XLOOKUP(C23, DATA_UBER!A:A, DATA_UBER!J:J, 0), 0)))</f>
      </c>
      <c r="K23" s="54">
        <f>IF(B23="", "", IF(OR(D23="", D23="—"), 0, IFNA(XLOOKUP(D23, DATA_BOLT!A:A, DATA_BOLT!Z:Z, 0), 0)))</f>
      </c>
      <c r="L23" s="50">
        <f>IF(B23="", "", IF(OR(D23="", D23="—"), 0, IFNA(XLOOKUP(D23, DATA_BOLT!A:A, DATA_BOLT!G:G, 0), 0)))</f>
      </c>
      <c r="M23" s="54">
        <f>IF(B23="", "", I23 + K23)</f>
      </c>
      <c r="N23" s="54">
        <f>IF(B23="", "", IF(OR(I23&lt;&gt;0, K23&lt;&gt;0, J23&lt;&gt;0, L23&lt;&gt;0), IFNA(XLOOKUP(B23, ANNUAIRE_FLOTTE!B:B, ANNUAIRE_FLOTTE!J:J, 50), 50), 0))</f>
      </c>
      <c r="O23" s="54">
        <v>0</v>
      </c>
      <c r="P23" s="54">
        <v>0</v>
      </c>
      <c r="Q23" s="54">
        <v>0</v>
      </c>
      <c r="R23" s="56">
        <f>IF(B23="", "", M23 - N23 - O23 - Q23 + P23)</f>
      </c>
      <c r="S23" s="18" t="s">
        <v>279</v>
      </c>
    </row>
    <row r="24" ht="28" customHeight="1" spans="1:19" x14ac:dyDescent="0.25">
      <c r="A24" s="8" t="s">
        <v>321</v>
      </c>
      <c r="B24" s="9" t="s">
        <v>34</v>
      </c>
      <c r="C24" s="10" t="s">
        <v>34</v>
      </c>
      <c r="D24" s="10" t="s">
        <v>237</v>
      </c>
      <c r="E24" s="47" t="s">
        <v>322</v>
      </c>
      <c r="F24" s="47" t="s">
        <v>238</v>
      </c>
      <c r="G24" s="48" t="s">
        <v>239</v>
      </c>
      <c r="H24" s="48" t="s">
        <v>239</v>
      </c>
      <c r="I24" s="49">
        <v>9.28</v>
      </c>
      <c r="J24" s="50">
        <f>IF(B24="", "", IF(OR(C24="", C24="—"), 0, IFNA(XLOOKUP(C24, DATA_UBER!A:A, DATA_UBER!J:J, 0), 0)))</f>
      </c>
      <c r="K24" s="49">
        <v>160.85</v>
      </c>
      <c r="L24" s="50">
        <v>625</v>
      </c>
      <c r="M24" s="49">
        <v>170.13</v>
      </c>
      <c r="N24" s="49">
        <v>60</v>
      </c>
      <c r="O24" s="49">
        <v>0</v>
      </c>
      <c r="P24" s="49">
        <v>0</v>
      </c>
      <c r="Q24" s="49">
        <v>0</v>
      </c>
      <c r="R24" s="55">
        <v>110.13</v>
      </c>
      <c r="S24" s="12" t="s">
        <v>279</v>
      </c>
    </row>
    <row r="25" ht="28" customHeight="1" spans="1:19" x14ac:dyDescent="0.25">
      <c r="A25" s="14" t="s">
        <v>323</v>
      </c>
      <c r="B25" s="15" t="s">
        <v>259</v>
      </c>
      <c r="C25" s="16" t="s">
        <v>259</v>
      </c>
      <c r="D25" s="16" t="s">
        <v>259</v>
      </c>
      <c r="E25" s="52" t="s">
        <v>324</v>
      </c>
      <c r="F25" s="52" t="s">
        <v>260</v>
      </c>
      <c r="G25" s="53" t="s">
        <v>261</v>
      </c>
      <c r="H25" s="53" t="s">
        <v>261</v>
      </c>
      <c r="I25" s="54">
        <f>IF(B25="", "", IF(OR(C25="", C25="—"), 0, IFNA(XLOOKUP(C25, DATA_UBER!A:A, DATA_UBER!Z:Z, 0), 0)))</f>
      </c>
      <c r="J25" s="50">
        <f>IF(B25="", "", IF(OR(C25="", C25="—"), 0, IFNA(XLOOKUP(C25, DATA_UBER!A:A, DATA_UBER!J:J, 0), 0)))</f>
      </c>
      <c r="K25" s="54">
        <v>142.12</v>
      </c>
      <c r="L25" s="50">
        <v>206.9</v>
      </c>
      <c r="M25" s="54">
        <v>142.12</v>
      </c>
      <c r="N25" s="54">
        <v>60</v>
      </c>
      <c r="O25" s="54">
        <v>0</v>
      </c>
      <c r="P25" s="54">
        <v>0</v>
      </c>
      <c r="Q25" s="54">
        <v>0</v>
      </c>
      <c r="R25" s="55">
        <v>82.12</v>
      </c>
      <c r="S25" s="18" t="s">
        <v>279</v>
      </c>
    </row>
    <row r="26" ht="28" customHeight="1" spans="1:19" x14ac:dyDescent="0.25">
      <c r="A26" s="8" t="s">
        <v>325</v>
      </c>
      <c r="B26" s="9" t="s">
        <v>326</v>
      </c>
      <c r="C26" s="10" t="s">
        <v>326</v>
      </c>
      <c r="D26" s="10" t="s">
        <v>327</v>
      </c>
      <c r="E26" s="47" t="s">
        <v>328</v>
      </c>
      <c r="F26" s="47" t="s">
        <v>328</v>
      </c>
      <c r="G26" s="48" t="s">
        <v>329</v>
      </c>
      <c r="H26" s="48" t="s">
        <v>329</v>
      </c>
      <c r="I26" s="49">
        <f>IF(B26="", "", IF(OR(C26="", C26="—"), 0, IFNA(XLOOKUP(C26, DATA_UBER!A:A, DATA_UBER!Z:Z, 0), 0)))</f>
      </c>
      <c r="J26" s="50">
        <f>IF(B26="", "", IF(OR(C26="", C26="—"), 0, IFNA(XLOOKUP(C26, DATA_UBER!A:A, DATA_UBER!J:J, 0), 0)))</f>
      </c>
      <c r="K26" s="49">
        <f>IF(B26="", "", IF(OR(D26="", D26="—"), 0, IFNA(XLOOKUP(D26, DATA_BOLT!A:A, DATA_BOLT!Z:Z, 0), 0)))</f>
      </c>
      <c r="L26" s="50">
        <f>IF(B26="", "", IF(OR(D26="", D26="—"), 0, IFNA(XLOOKUP(D26, DATA_BOLT!A:A, DATA_BOLT!G:G, 0), 0)))</f>
      </c>
      <c r="M26" s="49">
        <f>IF(B26="", "", I26 + K26)</f>
      </c>
      <c r="N26" s="49">
        <f>IF(B26="", "", IF(OR(I26&lt;&gt;0, K26&lt;&gt;0, J26&lt;&gt;0, L26&lt;&gt;0), IFNA(XLOOKUP(B26, ANNUAIRE_FLOTTE!B:B, ANNUAIRE_FLOTTE!J:J, 50), 50), 0))</f>
      </c>
      <c r="O26" s="49">
        <v>0</v>
      </c>
      <c r="P26" s="49">
        <v>0</v>
      </c>
      <c r="Q26" s="49">
        <v>0</v>
      </c>
      <c r="R26" s="57">
        <f>IF(B26="", "", M26 - N26 - O26 - Q26 + P26)</f>
      </c>
      <c r="S26" s="12" t="s">
        <v>279</v>
      </c>
    </row>
    <row r="27" ht="28" customHeight="1" spans="1:19" x14ac:dyDescent="0.25">
      <c r="A27" s="14" t="s">
        <v>330</v>
      </c>
      <c r="B27" s="15" t="s">
        <v>46</v>
      </c>
      <c r="C27" s="16" t="s">
        <v>46</v>
      </c>
      <c r="D27" s="16" t="s">
        <v>279</v>
      </c>
      <c r="E27" s="52" t="s">
        <v>331</v>
      </c>
      <c r="F27" s="52" t="s">
        <v>279</v>
      </c>
      <c r="G27" s="53" t="s">
        <v>332</v>
      </c>
      <c r="H27" s="53" t="s">
        <v>279</v>
      </c>
      <c r="I27" s="54">
        <v>170.09</v>
      </c>
      <c r="J27" s="50">
        <v>50.95</v>
      </c>
      <c r="K27" s="54">
        <f>IF(B27="", "", IF(OR(D27="", D27="—"), 0, IFNA(XLOOKUP(D27, DATA_BOLT!A:A, DATA_BOLT!Z:Z, 0), 0)))</f>
      </c>
      <c r="L27" s="50">
        <f>IF(B27="", "", IF(OR(D27="", D27="—"), 0, IFNA(XLOOKUP(D27, DATA_BOLT!A:A, DATA_BOLT!G:G, 0), 0)))</f>
      </c>
      <c r="M27" s="54">
        <v>170.09</v>
      </c>
      <c r="N27" s="54">
        <v>50</v>
      </c>
      <c r="O27" s="54">
        <v>0</v>
      </c>
      <c r="P27" s="54">
        <v>0</v>
      </c>
      <c r="Q27" s="54">
        <v>0</v>
      </c>
      <c r="R27" s="55">
        <v>120.09</v>
      </c>
      <c r="S27" s="18" t="s">
        <v>279</v>
      </c>
    </row>
    <row r="28" ht="28" customHeight="1" spans="1:19" x14ac:dyDescent="0.25">
      <c r="A28" s="8" t="s">
        <v>333</v>
      </c>
      <c r="B28" s="9" t="s">
        <v>334</v>
      </c>
      <c r="C28" s="10" t="s">
        <v>334</v>
      </c>
      <c r="D28" s="10" t="s">
        <v>334</v>
      </c>
      <c r="E28" s="47" t="s">
        <v>335</v>
      </c>
      <c r="F28" s="47" t="s">
        <v>335</v>
      </c>
      <c r="G28" s="48" t="s">
        <v>336</v>
      </c>
      <c r="H28" s="48" t="s">
        <v>336</v>
      </c>
      <c r="I28" s="49">
        <f>IF(B28="", "", IF(OR(C28="", C28="—"), 0, IFNA(XLOOKUP(C28, DATA_UBER!A:A, DATA_UBER!Z:Z, 0), 0)))</f>
      </c>
      <c r="J28" s="50">
        <f>IF(B28="", "", IF(OR(C28="", C28="—"), 0, IFNA(XLOOKUP(C28, DATA_UBER!A:A, DATA_UBER!J:J, 0), 0)))</f>
      </c>
      <c r="K28" s="49">
        <f>IF(B28="", "", IF(OR(D28="", D28="—"), 0, IFNA(XLOOKUP(D28, DATA_BOLT!A:A, DATA_BOLT!Z:Z, 0), 0)))</f>
      </c>
      <c r="L28" s="50">
        <f>IF(B28="", "", IF(OR(D28="", D28="—"), 0, IFNA(XLOOKUP(D28, DATA_BOLT!A:A, DATA_BOLT!G:G, 0), 0)))</f>
      </c>
      <c r="M28" s="49">
        <f>IF(B28="", "", I28 + K28)</f>
      </c>
      <c r="N28" s="49">
        <f>IF(B28="", "", IF(OR(I28&lt;&gt;0, K28&lt;&gt;0, J28&lt;&gt;0, L28&lt;&gt;0), IFNA(XLOOKUP(B28, ANNUAIRE_FLOTTE!B:B, ANNUAIRE_FLOTTE!J:J, 50), 50), 0))</f>
      </c>
      <c r="O28" s="49">
        <v>0</v>
      </c>
      <c r="P28" s="49">
        <v>0</v>
      </c>
      <c r="Q28" s="49">
        <v>0</v>
      </c>
      <c r="R28" s="57">
        <f>IF(B28="", "", M28 - N28 - O28 - Q28 + P28)</f>
      </c>
      <c r="S28" s="12" t="s">
        <v>279</v>
      </c>
    </row>
    <row r="29" ht="28" customHeight="1" spans="1:19" x14ac:dyDescent="0.25">
      <c r="A29" s="14" t="s">
        <v>337</v>
      </c>
      <c r="B29" s="15" t="s">
        <v>137</v>
      </c>
      <c r="C29" s="16" t="s">
        <v>338</v>
      </c>
      <c r="D29" s="16" t="s">
        <v>137</v>
      </c>
      <c r="E29" s="52" t="s">
        <v>138</v>
      </c>
      <c r="F29" s="52" t="s">
        <v>138</v>
      </c>
      <c r="G29" s="53" t="s">
        <v>139</v>
      </c>
      <c r="H29" s="53" t="s">
        <v>139</v>
      </c>
      <c r="I29" s="54">
        <f>IF(B29="", "", IF(OR(C29="", C29="—"), 0, IFNA(XLOOKUP(C29, DATA_UBER!A:A, DATA_UBER!Z:Z, 0), 0)))</f>
      </c>
      <c r="J29" s="50">
        <f>IF(B29="", "", IF(OR(C29="", C29="—"), 0, IFNA(XLOOKUP(C29, DATA_UBER!A:A, DATA_UBER!J:J, 0), 0)))</f>
      </c>
      <c r="K29" s="54">
        <v>137.12</v>
      </c>
      <c r="L29" s="50">
        <v>12</v>
      </c>
      <c r="M29" s="54">
        <v>137.12</v>
      </c>
      <c r="N29" s="54">
        <v>50</v>
      </c>
      <c r="O29" s="54">
        <v>0</v>
      </c>
      <c r="P29" s="54">
        <v>0</v>
      </c>
      <c r="Q29" s="54">
        <v>0</v>
      </c>
      <c r="R29" s="55">
        <v>87.12</v>
      </c>
      <c r="S29" s="18" t="s">
        <v>279</v>
      </c>
    </row>
    <row r="30" ht="28" customHeight="1" spans="1:19" x14ac:dyDescent="0.25">
      <c r="A30" s="8" t="s">
        <v>339</v>
      </c>
      <c r="B30" s="9" t="s">
        <v>340</v>
      </c>
      <c r="C30" s="10" t="s">
        <v>97</v>
      </c>
      <c r="D30" s="10" t="s">
        <v>218</v>
      </c>
      <c r="E30" s="47" t="s">
        <v>219</v>
      </c>
      <c r="F30" s="47" t="s">
        <v>219</v>
      </c>
      <c r="G30" s="48" t="s">
        <v>220</v>
      </c>
      <c r="H30" s="48" t="s">
        <v>220</v>
      </c>
      <c r="I30" s="49">
        <v>37.47</v>
      </c>
      <c r="J30" s="50">
        <f>IF(B30="", "", IF(OR(C30="", C30="—"), 0, IFNA(XLOOKUP(C30, DATA_UBER!A:A, DATA_UBER!J:J, 0), 0)))</f>
      </c>
      <c r="K30" s="49">
        <v>230.37</v>
      </c>
      <c r="L30" s="50">
        <v>66.3</v>
      </c>
      <c r="M30" s="49">
        <v>267.84</v>
      </c>
      <c r="N30" s="49">
        <v>50</v>
      </c>
      <c r="O30" s="49">
        <v>0</v>
      </c>
      <c r="P30" s="49">
        <v>0</v>
      </c>
      <c r="Q30" s="49">
        <v>0</v>
      </c>
      <c r="R30" s="55">
        <v>217.84</v>
      </c>
      <c r="S30" s="12" t="s">
        <v>279</v>
      </c>
    </row>
    <row r="31" ht="28" customHeight="1" spans="1:19" x14ac:dyDescent="0.25">
      <c r="A31" s="14" t="s">
        <v>341</v>
      </c>
      <c r="B31" s="15" t="s">
        <v>342</v>
      </c>
      <c r="C31" s="16" t="s">
        <v>342</v>
      </c>
      <c r="D31" s="16" t="s">
        <v>279</v>
      </c>
      <c r="E31" s="52" t="s">
        <v>343</v>
      </c>
      <c r="F31" s="52" t="s">
        <v>279</v>
      </c>
      <c r="G31" s="53" t="s">
        <v>344</v>
      </c>
      <c r="H31" s="53" t="s">
        <v>279</v>
      </c>
      <c r="I31" s="54">
        <f>IF(B31="", "", IF(OR(C31="", C31="—"), 0, IFNA(XLOOKUP(C31, DATA_UBER!A:A, DATA_UBER!Z:Z, 0), 0)))</f>
      </c>
      <c r="J31" s="50">
        <f>IF(B31="", "", IF(OR(C31="", C31="—"), 0, IFNA(XLOOKUP(C31, DATA_UBER!A:A, DATA_UBER!J:J, 0), 0)))</f>
      </c>
      <c r="K31" s="54">
        <f>IF(B31="", "", IF(OR(D31="", D31="—"), 0, IFNA(XLOOKUP(D31, DATA_BOLT!A:A, DATA_BOLT!Z:Z, 0), 0)))</f>
      </c>
      <c r="L31" s="50">
        <f>IF(B31="", "", IF(OR(D31="", D31="—"), 0, IFNA(XLOOKUP(D31, DATA_BOLT!A:A, DATA_BOLT!G:G, 0), 0)))</f>
      </c>
      <c r="M31" s="54">
        <f>IF(B31="", "", I31 + K31)</f>
      </c>
      <c r="N31" s="54">
        <f>IF(B31="", "", IF(OR(I31&lt;&gt;0, K31&lt;&gt;0, J31&lt;&gt;0, L31&lt;&gt;0), IFNA(XLOOKUP(B31, ANNUAIRE_FLOTTE!B:B, ANNUAIRE_FLOTTE!J:J, 50), 50), 0))</f>
      </c>
      <c r="O31" s="54">
        <v>0</v>
      </c>
      <c r="P31" s="54">
        <v>0</v>
      </c>
      <c r="Q31" s="54">
        <v>0</v>
      </c>
      <c r="R31" s="56">
        <f>IF(B31="", "", M31 - N31 - O31 - Q31 + P31)</f>
      </c>
      <c r="S31" s="18" t="s">
        <v>279</v>
      </c>
    </row>
    <row r="32" ht="28" customHeight="1" spans="1:19" x14ac:dyDescent="0.25">
      <c r="A32" s="8" t="s">
        <v>345</v>
      </c>
      <c r="B32" s="9" t="s">
        <v>91</v>
      </c>
      <c r="C32" s="10" t="s">
        <v>91</v>
      </c>
      <c r="D32" s="10" t="s">
        <v>91</v>
      </c>
      <c r="E32" s="47" t="s">
        <v>141</v>
      </c>
      <c r="F32" s="47" t="s">
        <v>141</v>
      </c>
      <c r="G32" s="48" t="s">
        <v>142</v>
      </c>
      <c r="H32" s="48" t="s">
        <v>142</v>
      </c>
      <c r="I32" s="49">
        <v>118.18</v>
      </c>
      <c r="J32" s="50">
        <f>IF(B32="", "", IF(OR(C32="", C32="—"), 0, IFNA(XLOOKUP(C32, DATA_UBER!A:A, DATA_UBER!J:J, 0), 0)))</f>
      </c>
      <c r="K32" s="49">
        <v>-2.56</v>
      </c>
      <c r="L32" s="50">
        <v>16.7</v>
      </c>
      <c r="M32" s="49">
        <v>115.62</v>
      </c>
      <c r="N32" s="49">
        <v>50</v>
      </c>
      <c r="O32" s="49">
        <v>0</v>
      </c>
      <c r="P32" s="49">
        <v>0</v>
      </c>
      <c r="Q32" s="49">
        <v>0</v>
      </c>
      <c r="R32" s="55">
        <v>65.62</v>
      </c>
      <c r="S32" s="12" t="s">
        <v>279</v>
      </c>
    </row>
    <row r="33" ht="28" customHeight="1" spans="1:19" x14ac:dyDescent="0.25">
      <c r="A33" s="14" t="s">
        <v>346</v>
      </c>
      <c r="B33" s="15" t="s">
        <v>144</v>
      </c>
      <c r="C33" s="16" t="s">
        <v>144</v>
      </c>
      <c r="D33" s="16" t="s">
        <v>144</v>
      </c>
      <c r="E33" s="52" t="s">
        <v>145</v>
      </c>
      <c r="F33" s="52" t="s">
        <v>145</v>
      </c>
      <c r="G33" s="53" t="s">
        <v>146</v>
      </c>
      <c r="H33" s="53" t="s">
        <v>146</v>
      </c>
      <c r="I33" s="54">
        <f>IF(B33="", "", IF(OR(C33="", C33="—"), 0, IFNA(XLOOKUP(C33, DATA_UBER!A:A, DATA_UBER!Z:Z, 0), 0)))</f>
      </c>
      <c r="J33" s="50">
        <f>IF(B33="", "", IF(OR(C33="", C33="—"), 0, IFNA(XLOOKUP(C33, DATA_UBER!A:A, DATA_UBER!J:J, 0), 0)))</f>
      </c>
      <c r="K33" s="54">
        <v>408.54</v>
      </c>
      <c r="L33" s="50">
        <v>246.3</v>
      </c>
      <c r="M33" s="54">
        <v>408.54</v>
      </c>
      <c r="N33" s="54">
        <v>50</v>
      </c>
      <c r="O33" s="54">
        <v>0</v>
      </c>
      <c r="P33" s="54">
        <v>0</v>
      </c>
      <c r="Q33" s="54">
        <v>0</v>
      </c>
      <c r="R33" s="55">
        <v>358.54</v>
      </c>
      <c r="S33" s="18" t="s">
        <v>279</v>
      </c>
    </row>
    <row r="34" ht="28" customHeight="1" spans="1:19" x14ac:dyDescent="0.25">
      <c r="A34" s="8" t="s">
        <v>347</v>
      </c>
      <c r="B34" s="9" t="s">
        <v>348</v>
      </c>
      <c r="C34" s="10" t="s">
        <v>349</v>
      </c>
      <c r="D34" s="10" t="s">
        <v>279</v>
      </c>
      <c r="E34" s="47" t="s">
        <v>350</v>
      </c>
      <c r="F34" s="47" t="s">
        <v>279</v>
      </c>
      <c r="G34" s="48" t="s">
        <v>351</v>
      </c>
      <c r="H34" s="48" t="s">
        <v>279</v>
      </c>
      <c r="I34" s="49">
        <f>IF(B34="", "", IF(OR(C34="", C34="—"), 0, IFNA(XLOOKUP(C34, DATA_UBER!A:A, DATA_UBER!Z:Z, 0), 0)))</f>
      </c>
      <c r="J34" s="50">
        <f>IF(B34="", "", IF(OR(C34="", C34="—"), 0, IFNA(XLOOKUP(C34, DATA_UBER!A:A, DATA_UBER!J:J, 0), 0)))</f>
      </c>
      <c r="K34" s="49">
        <f>IF(B34="", "", IF(OR(D34="", D34="—"), 0, IFNA(XLOOKUP(D34, DATA_BOLT!A:A, DATA_BOLT!Z:Z, 0), 0)))</f>
      </c>
      <c r="L34" s="50">
        <f>IF(B34="", "", IF(OR(D34="", D34="—"), 0, IFNA(XLOOKUP(D34, DATA_BOLT!A:A, DATA_BOLT!G:G, 0), 0)))</f>
      </c>
      <c r="M34" s="49">
        <f>IF(B34="", "", I34 + K34)</f>
      </c>
      <c r="N34" s="49">
        <f>IF(B34="", "", IF(OR(I34&lt;&gt;0, K34&lt;&gt;0, J34&lt;&gt;0, L34&lt;&gt;0), IFNA(XLOOKUP(B34, ANNUAIRE_FLOTTE!B:B, ANNUAIRE_FLOTTE!J:J, 50), 50), 0))</f>
      </c>
      <c r="O34" s="49">
        <v>0</v>
      </c>
      <c r="P34" s="49">
        <v>0</v>
      </c>
      <c r="Q34" s="49">
        <v>0</v>
      </c>
      <c r="R34" s="57">
        <f>IF(B34="", "", M34 - N34 - O34 - Q34 + P34)</f>
      </c>
      <c r="S34" s="12" t="s">
        <v>279</v>
      </c>
    </row>
    <row r="35" ht="28" customHeight="1" spans="1:19" x14ac:dyDescent="0.25">
      <c r="A35" s="14" t="s">
        <v>352</v>
      </c>
      <c r="B35" s="15" t="s">
        <v>152</v>
      </c>
      <c r="C35" s="16" t="s">
        <v>152</v>
      </c>
      <c r="D35" s="16" t="s">
        <v>152</v>
      </c>
      <c r="E35" s="52" t="s">
        <v>153</v>
      </c>
      <c r="F35" s="52" t="s">
        <v>153</v>
      </c>
      <c r="G35" s="53" t="s">
        <v>154</v>
      </c>
      <c r="H35" s="53" t="s">
        <v>154</v>
      </c>
      <c r="I35" s="54">
        <f>IF(B35="", "", IF(OR(C35="", C35="—"), 0, IFNA(XLOOKUP(C35, DATA_UBER!A:A, DATA_UBER!Z:Z, 0), 0)))</f>
      </c>
      <c r="J35" s="50">
        <f>IF(B35="", "", IF(OR(C35="", C35="—"), 0, IFNA(XLOOKUP(C35, DATA_UBER!A:A, DATA_UBER!J:J, 0), 0)))</f>
      </c>
      <c r="K35" s="54">
        <v>11.44</v>
      </c>
      <c r="L35" s="50">
        <f>IF(B35="", "", IF(OR(D35="", D35="—"), 0, IFNA(XLOOKUP(D35, DATA_BOLT!A:A, DATA_BOLT!G:G, 0), 0)))</f>
      </c>
      <c r="M35" s="54">
        <v>11.44</v>
      </c>
      <c r="N35" s="54">
        <v>50</v>
      </c>
      <c r="O35" s="54">
        <v>0</v>
      </c>
      <c r="P35" s="54">
        <v>0</v>
      </c>
      <c r="Q35" s="54">
        <v>0</v>
      </c>
      <c r="R35" s="51">
        <v>-38.56</v>
      </c>
      <c r="S35" s="18" t="s">
        <v>279</v>
      </c>
    </row>
    <row r="36" ht="28" customHeight="1" spans="1:19" x14ac:dyDescent="0.25">
      <c r="A36" s="8" t="s">
        <v>353</v>
      </c>
      <c r="B36" s="9" t="s">
        <v>354</v>
      </c>
      <c r="C36" s="10" t="s">
        <v>354</v>
      </c>
      <c r="D36" s="10" t="s">
        <v>279</v>
      </c>
      <c r="E36" s="47" t="s">
        <v>355</v>
      </c>
      <c r="F36" s="47" t="s">
        <v>279</v>
      </c>
      <c r="G36" s="48" t="s">
        <v>356</v>
      </c>
      <c r="H36" s="48" t="s">
        <v>279</v>
      </c>
      <c r="I36" s="49">
        <f>IF(B36="", "", IF(OR(C36="", C36="—"), 0, IFNA(XLOOKUP(C36, DATA_UBER!A:A, DATA_UBER!Z:Z, 0), 0)))</f>
      </c>
      <c r="J36" s="50">
        <f>IF(B36="", "", IF(OR(C36="", C36="—"), 0, IFNA(XLOOKUP(C36, DATA_UBER!A:A, DATA_UBER!J:J, 0), 0)))</f>
      </c>
      <c r="K36" s="49">
        <f>IF(B36="", "", IF(OR(D36="", D36="—"), 0, IFNA(XLOOKUP(D36, DATA_BOLT!A:A, DATA_BOLT!Z:Z, 0), 0)))</f>
      </c>
      <c r="L36" s="50">
        <f>IF(B36="", "", IF(OR(D36="", D36="—"), 0, IFNA(XLOOKUP(D36, DATA_BOLT!A:A, DATA_BOLT!G:G, 0), 0)))</f>
      </c>
      <c r="M36" s="49">
        <f>IF(B36="", "", I36 + K36)</f>
      </c>
      <c r="N36" s="49">
        <f>IF(B36="", "", IF(OR(I36&lt;&gt;0, K36&lt;&gt;0, J36&lt;&gt;0, L36&lt;&gt;0), IFNA(XLOOKUP(B36, ANNUAIRE_FLOTTE!B:B, ANNUAIRE_FLOTTE!J:J, 50), 50), 0))</f>
      </c>
      <c r="O36" s="49">
        <v>0</v>
      </c>
      <c r="P36" s="49">
        <v>0</v>
      </c>
      <c r="Q36" s="49">
        <v>0</v>
      </c>
      <c r="R36" s="57">
        <f>IF(B36="", "", M36 - N36 - O36 - Q36 + P36)</f>
      </c>
      <c r="S36" s="12" t="s">
        <v>279</v>
      </c>
    </row>
    <row r="37" ht="28" customHeight="1" spans="1:19" x14ac:dyDescent="0.25">
      <c r="A37" s="14" t="s">
        <v>357</v>
      </c>
      <c r="B37" s="15" t="s">
        <v>358</v>
      </c>
      <c r="C37" s="16" t="s">
        <v>358</v>
      </c>
      <c r="D37" s="16" t="s">
        <v>359</v>
      </c>
      <c r="E37" s="52" t="s">
        <v>360</v>
      </c>
      <c r="F37" s="52" t="s">
        <v>360</v>
      </c>
      <c r="G37" s="53" t="s">
        <v>361</v>
      </c>
      <c r="H37" s="53" t="s">
        <v>361</v>
      </c>
      <c r="I37" s="54">
        <f>IF(B37="", "", IF(OR(C37="", C37="—"), 0, IFNA(XLOOKUP(C37, DATA_UBER!A:A, DATA_UBER!Z:Z, 0), 0)))</f>
      </c>
      <c r="J37" s="50">
        <f>IF(B37="", "", IF(OR(C37="", C37="—"), 0, IFNA(XLOOKUP(C37, DATA_UBER!A:A, DATA_UBER!J:J, 0), 0)))</f>
      </c>
      <c r="K37" s="54">
        <f>IF(B37="", "", IF(OR(D37="", D37="—"), 0, IFNA(XLOOKUP(D37, DATA_BOLT!A:A, DATA_BOLT!Z:Z, 0), 0)))</f>
      </c>
      <c r="L37" s="50">
        <f>IF(B37="", "", IF(OR(D37="", D37="—"), 0, IFNA(XLOOKUP(D37, DATA_BOLT!A:A, DATA_BOLT!G:G, 0), 0)))</f>
      </c>
      <c r="M37" s="54">
        <f>IF(B37="", "", I37 + K37)</f>
      </c>
      <c r="N37" s="54">
        <f>IF(B37="", "", IF(OR(I37&lt;&gt;0, K37&lt;&gt;0, J37&lt;&gt;0, L37&lt;&gt;0), IFNA(XLOOKUP(B37, ANNUAIRE_FLOTTE!B:B, ANNUAIRE_FLOTTE!J:J, 50), 50), 0))</f>
      </c>
      <c r="O37" s="54">
        <v>0</v>
      </c>
      <c r="P37" s="54">
        <v>0</v>
      </c>
      <c r="Q37" s="54">
        <v>0</v>
      </c>
      <c r="R37" s="56">
        <f>IF(B37="", "", M37 - N37 - O37 - Q37 + P37)</f>
      </c>
      <c r="S37" s="18" t="s">
        <v>279</v>
      </c>
    </row>
    <row r="38" ht="28" customHeight="1" spans="1:19" x14ac:dyDescent="0.25">
      <c r="A38" s="8" t="s">
        <v>362</v>
      </c>
      <c r="B38" s="9" t="s">
        <v>363</v>
      </c>
      <c r="C38" s="10" t="s">
        <v>363</v>
      </c>
      <c r="D38" s="10" t="s">
        <v>364</v>
      </c>
      <c r="E38" s="47" t="s">
        <v>365</v>
      </c>
      <c r="F38" s="47" t="s">
        <v>365</v>
      </c>
      <c r="G38" s="48" t="s">
        <v>366</v>
      </c>
      <c r="H38" s="48" t="s">
        <v>366</v>
      </c>
      <c r="I38" s="49">
        <f>IF(B38="", "", IF(OR(C38="", C38="—"), 0, IFNA(XLOOKUP(C38, DATA_UBER!A:A, DATA_UBER!Z:Z, 0), 0)))</f>
      </c>
      <c r="J38" s="50">
        <f>IF(B38="", "", IF(OR(C38="", C38="—"), 0, IFNA(XLOOKUP(C38, DATA_UBER!A:A, DATA_UBER!J:J, 0), 0)))</f>
      </c>
      <c r="K38" s="49">
        <f>IF(B38="", "", IF(OR(D38="", D38="—"), 0, IFNA(XLOOKUP(D38, DATA_BOLT!A:A, DATA_BOLT!Z:Z, 0), 0)))</f>
      </c>
      <c r="L38" s="50">
        <f>IF(B38="", "", IF(OR(D38="", D38="—"), 0, IFNA(XLOOKUP(D38, DATA_BOLT!A:A, DATA_BOLT!G:G, 0), 0)))</f>
      </c>
      <c r="M38" s="49">
        <f>IF(B38="", "", I38 + K38)</f>
      </c>
      <c r="N38" s="49">
        <f>IF(B38="", "", IF(OR(I38&lt;&gt;0, K38&lt;&gt;0, J38&lt;&gt;0, L38&lt;&gt;0), IFNA(XLOOKUP(B38, ANNUAIRE_FLOTTE!B:B, ANNUAIRE_FLOTTE!J:J, 50), 50), 0))</f>
      </c>
      <c r="O38" s="49">
        <v>0</v>
      </c>
      <c r="P38" s="49">
        <v>0</v>
      </c>
      <c r="Q38" s="49">
        <v>0</v>
      </c>
      <c r="R38" s="57">
        <f>IF(B38="", "", M38 - N38 - O38 - Q38 + P38)</f>
      </c>
      <c r="S38" s="12" t="s">
        <v>279</v>
      </c>
    </row>
    <row r="39" ht="28" customHeight="1" spans="1:19" x14ac:dyDescent="0.25">
      <c r="A39" s="14" t="s">
        <v>367</v>
      </c>
      <c r="B39" s="15" t="s">
        <v>37</v>
      </c>
      <c r="C39" s="16" t="s">
        <v>37</v>
      </c>
      <c r="D39" s="16" t="s">
        <v>279</v>
      </c>
      <c r="E39" s="52" t="s">
        <v>368</v>
      </c>
      <c r="F39" s="52" t="s">
        <v>279</v>
      </c>
      <c r="G39" s="53" t="s">
        <v>369</v>
      </c>
      <c r="H39" s="53" t="s">
        <v>279</v>
      </c>
      <c r="I39" s="54">
        <v>179.99</v>
      </c>
      <c r="J39" s="50">
        <v>43.98</v>
      </c>
      <c r="K39" s="54">
        <f>IF(B39="", "", IF(OR(D39="", D39="—"), 0, IFNA(XLOOKUP(D39, DATA_BOLT!A:A, DATA_BOLT!Z:Z, 0), 0)))</f>
      </c>
      <c r="L39" s="50">
        <f>IF(B39="", "", IF(OR(D39="", D39="—"), 0, IFNA(XLOOKUP(D39, DATA_BOLT!A:A, DATA_BOLT!G:G, 0), 0)))</f>
      </c>
      <c r="M39" s="54">
        <v>179.99</v>
      </c>
      <c r="N39" s="54">
        <v>50</v>
      </c>
      <c r="O39" s="54">
        <v>0</v>
      </c>
      <c r="P39" s="54">
        <v>0</v>
      </c>
      <c r="Q39" s="54">
        <v>0</v>
      </c>
      <c r="R39" s="55">
        <v>129.99</v>
      </c>
      <c r="S39" s="18" t="s">
        <v>279</v>
      </c>
    </row>
    <row r="40" ht="28" customHeight="1" spans="1:19" x14ac:dyDescent="0.25">
      <c r="A40" s="8" t="s">
        <v>370</v>
      </c>
      <c r="B40" s="9" t="s">
        <v>371</v>
      </c>
      <c r="C40" s="10" t="s">
        <v>371</v>
      </c>
      <c r="D40" s="10" t="s">
        <v>279</v>
      </c>
      <c r="E40" s="47" t="s">
        <v>372</v>
      </c>
      <c r="F40" s="47" t="s">
        <v>279</v>
      </c>
      <c r="G40" s="48" t="s">
        <v>373</v>
      </c>
      <c r="H40" s="48" t="s">
        <v>279</v>
      </c>
      <c r="I40" s="49">
        <f>IF(B40="", "", IF(OR(C40="", C40="—"), 0, IFNA(XLOOKUP(C40, DATA_UBER!A:A, DATA_UBER!Z:Z, 0), 0)))</f>
      </c>
      <c r="J40" s="50">
        <f>IF(B40="", "", IF(OR(C40="", C40="—"), 0, IFNA(XLOOKUP(C40, DATA_UBER!A:A, DATA_UBER!J:J, 0), 0)))</f>
      </c>
      <c r="K40" s="49">
        <f>IF(B40="", "", IF(OR(D40="", D40="—"), 0, IFNA(XLOOKUP(D40, DATA_BOLT!A:A, DATA_BOLT!Z:Z, 0), 0)))</f>
      </c>
      <c r="L40" s="50">
        <f>IF(B40="", "", IF(OR(D40="", D40="—"), 0, IFNA(XLOOKUP(D40, DATA_BOLT!A:A, DATA_BOLT!G:G, 0), 0)))</f>
      </c>
      <c r="M40" s="49">
        <f>IF(B40="", "", I40 + K40)</f>
      </c>
      <c r="N40" s="49">
        <f>IF(B40="", "", IF(OR(I40&lt;&gt;0, K40&lt;&gt;0, J40&lt;&gt;0, L40&lt;&gt;0), IFNA(XLOOKUP(B40, ANNUAIRE_FLOTTE!B:B, ANNUAIRE_FLOTTE!J:J, 50), 50), 0))</f>
      </c>
      <c r="O40" s="49">
        <v>0</v>
      </c>
      <c r="P40" s="49">
        <v>0</v>
      </c>
      <c r="Q40" s="49">
        <v>0</v>
      </c>
      <c r="R40" s="57">
        <f>IF(B40="", "", M40 - N40 - O40 - Q40 + P40)</f>
      </c>
      <c r="S40" s="12" t="s">
        <v>279</v>
      </c>
    </row>
    <row r="41" ht="28" customHeight="1" spans="1:19" x14ac:dyDescent="0.25">
      <c r="A41" s="14" t="s">
        <v>374</v>
      </c>
      <c r="B41" s="15" t="s">
        <v>164</v>
      </c>
      <c r="C41" s="16" t="s">
        <v>375</v>
      </c>
      <c r="D41" s="16" t="s">
        <v>164</v>
      </c>
      <c r="E41" s="52" t="s">
        <v>376</v>
      </c>
      <c r="F41" s="52" t="s">
        <v>165</v>
      </c>
      <c r="G41" s="53" t="s">
        <v>166</v>
      </c>
      <c r="H41" s="53" t="s">
        <v>166</v>
      </c>
      <c r="I41" s="54">
        <f>IF(B41="", "", IF(OR(C41="", C41="—"), 0, IFNA(XLOOKUP(C41, DATA_UBER!A:A, DATA_UBER!Z:Z, 0), 0)))</f>
      </c>
      <c r="J41" s="50">
        <f>IF(B41="", "", IF(OR(C41="", C41="—"), 0, IFNA(XLOOKUP(C41, DATA_UBER!A:A, DATA_UBER!J:J, 0), 0)))</f>
      </c>
      <c r="K41" s="54">
        <v>254.45</v>
      </c>
      <c r="L41" s="50">
        <v>81.6</v>
      </c>
      <c r="M41" s="54">
        <v>254.45</v>
      </c>
      <c r="N41" s="54">
        <v>50</v>
      </c>
      <c r="O41" s="54">
        <v>0</v>
      </c>
      <c r="P41" s="54">
        <v>0</v>
      </c>
      <c r="Q41" s="54">
        <v>0</v>
      </c>
      <c r="R41" s="55">
        <v>204.45</v>
      </c>
      <c r="S41" s="18" t="s">
        <v>279</v>
      </c>
    </row>
    <row r="42" ht="28" customHeight="1" spans="1:19" x14ac:dyDescent="0.25">
      <c r="A42" s="8" t="s">
        <v>377</v>
      </c>
      <c r="B42" s="9" t="s">
        <v>378</v>
      </c>
      <c r="C42" s="10" t="s">
        <v>379</v>
      </c>
      <c r="D42" s="10" t="s">
        <v>279</v>
      </c>
      <c r="E42" s="47" t="s">
        <v>380</v>
      </c>
      <c r="F42" s="47" t="s">
        <v>279</v>
      </c>
      <c r="G42" s="48" t="s">
        <v>381</v>
      </c>
      <c r="H42" s="48" t="s">
        <v>279</v>
      </c>
      <c r="I42" s="49">
        <f>IF(B42="", "", IF(OR(C42="", C42="—"), 0, IFNA(XLOOKUP(C42, DATA_UBER!A:A, DATA_UBER!Z:Z, 0), 0)))</f>
      </c>
      <c r="J42" s="50">
        <f>IF(B42="", "", IF(OR(C42="", C42="—"), 0, IFNA(XLOOKUP(C42, DATA_UBER!A:A, DATA_UBER!J:J, 0), 0)))</f>
      </c>
      <c r="K42" s="49">
        <f>IF(B42="", "", IF(OR(D42="", D42="—"), 0, IFNA(XLOOKUP(D42, DATA_BOLT!A:A, DATA_BOLT!Z:Z, 0), 0)))</f>
      </c>
      <c r="L42" s="50">
        <f>IF(B42="", "", IF(OR(D42="", D42="—"), 0, IFNA(XLOOKUP(D42, DATA_BOLT!A:A, DATA_BOLT!G:G, 0), 0)))</f>
      </c>
      <c r="M42" s="49">
        <f>IF(B42="", "", I42 + K42)</f>
      </c>
      <c r="N42" s="49">
        <f>IF(B42="", "", IF(OR(I42&lt;&gt;0, K42&lt;&gt;0, J42&lt;&gt;0, L42&lt;&gt;0), IFNA(XLOOKUP(B42, ANNUAIRE_FLOTTE!B:B, ANNUAIRE_FLOTTE!J:J, 50), 50), 0))</f>
      </c>
      <c r="O42" s="49">
        <v>0</v>
      </c>
      <c r="P42" s="49">
        <v>0</v>
      </c>
      <c r="Q42" s="49">
        <v>0</v>
      </c>
      <c r="R42" s="57">
        <f>IF(B42="", "", M42 - N42 - O42 - Q42 + P42)</f>
      </c>
      <c r="S42" s="12" t="s">
        <v>279</v>
      </c>
    </row>
    <row r="43" ht="28" customHeight="1" spans="1:19" x14ac:dyDescent="0.25">
      <c r="A43" s="14" t="s">
        <v>382</v>
      </c>
      <c r="B43" s="15" t="s">
        <v>383</v>
      </c>
      <c r="C43" s="16" t="s">
        <v>49</v>
      </c>
      <c r="D43" s="16" t="s">
        <v>279</v>
      </c>
      <c r="E43" s="52" t="s">
        <v>384</v>
      </c>
      <c r="F43" s="52" t="s">
        <v>279</v>
      </c>
      <c r="G43" s="53" t="s">
        <v>385</v>
      </c>
      <c r="H43" s="53" t="s">
        <v>279</v>
      </c>
      <c r="I43" s="54">
        <v>157.37</v>
      </c>
      <c r="J43" s="50">
        <v>29.9</v>
      </c>
      <c r="K43" s="54">
        <f>IF(B43="", "", IF(OR(D43="", D43="—"), 0, IFNA(XLOOKUP(D43, DATA_BOLT!A:A, DATA_BOLT!Z:Z, 0), 0)))</f>
      </c>
      <c r="L43" s="50">
        <f>IF(B43="", "", IF(OR(D43="", D43="—"), 0, IFNA(XLOOKUP(D43, DATA_BOLT!A:A, DATA_BOLT!G:G, 0), 0)))</f>
      </c>
      <c r="M43" s="54">
        <v>157.37</v>
      </c>
      <c r="N43" s="54">
        <v>50</v>
      </c>
      <c r="O43" s="54">
        <v>0</v>
      </c>
      <c r="P43" s="54">
        <v>0</v>
      </c>
      <c r="Q43" s="54">
        <v>0</v>
      </c>
      <c r="R43" s="55">
        <v>107.37</v>
      </c>
      <c r="S43" s="18" t="s">
        <v>279</v>
      </c>
    </row>
    <row r="44" ht="28" customHeight="1" spans="1:19" x14ac:dyDescent="0.25">
      <c r="A44" s="8" t="s">
        <v>386</v>
      </c>
      <c r="B44" s="9" t="s">
        <v>168</v>
      </c>
      <c r="C44" s="10" t="s">
        <v>387</v>
      </c>
      <c r="D44" s="10" t="s">
        <v>168</v>
      </c>
      <c r="E44" s="47" t="s">
        <v>169</v>
      </c>
      <c r="F44" s="47" t="s">
        <v>169</v>
      </c>
      <c r="G44" s="48" t="s">
        <v>170</v>
      </c>
      <c r="H44" s="48" t="s">
        <v>170</v>
      </c>
      <c r="I44" s="49">
        <f>IF(B44="", "", IF(OR(C44="", C44="—"), 0, IFNA(XLOOKUP(C44, DATA_UBER!A:A, DATA_UBER!Z:Z, 0), 0)))</f>
      </c>
      <c r="J44" s="50">
        <f>IF(B44="", "", IF(OR(C44="", C44="—"), 0, IFNA(XLOOKUP(C44, DATA_UBER!A:A, DATA_UBER!J:J, 0), 0)))</f>
      </c>
      <c r="K44" s="49">
        <v>169.13</v>
      </c>
      <c r="L44" s="50">
        <f>IF(B44="", "", IF(OR(D44="", D44="—"), 0, IFNA(XLOOKUP(D44, DATA_BOLT!A:A, DATA_BOLT!G:G, 0), 0)))</f>
      </c>
      <c r="M44" s="49">
        <v>169.13</v>
      </c>
      <c r="N44" s="49">
        <v>50</v>
      </c>
      <c r="O44" s="49">
        <v>0</v>
      </c>
      <c r="P44" s="49">
        <v>0</v>
      </c>
      <c r="Q44" s="49">
        <v>0</v>
      </c>
      <c r="R44" s="55">
        <v>119.13</v>
      </c>
      <c r="S44" s="12" t="s">
        <v>279</v>
      </c>
    </row>
    <row r="45" ht="28" customHeight="1" spans="1:19" x14ac:dyDescent="0.25">
      <c r="A45" s="14" t="s">
        <v>388</v>
      </c>
      <c r="B45" s="15" t="s">
        <v>389</v>
      </c>
      <c r="C45" s="16" t="s">
        <v>389</v>
      </c>
      <c r="D45" s="16" t="s">
        <v>172</v>
      </c>
      <c r="E45" s="52" t="s">
        <v>390</v>
      </c>
      <c r="F45" s="52" t="s">
        <v>173</v>
      </c>
      <c r="G45" s="53" t="s">
        <v>391</v>
      </c>
      <c r="H45" s="53" t="s">
        <v>392</v>
      </c>
      <c r="I45" s="54">
        <f>IF(B45="", "", IF(OR(C45="", C45="—"), 0, IFNA(XLOOKUP(C45, DATA_UBER!A:A, DATA_UBER!Z:Z, 0), 0)))</f>
      </c>
      <c r="J45" s="50">
        <f>IF(B45="", "", IF(OR(C45="", C45="—"), 0, IFNA(XLOOKUP(C45, DATA_UBER!A:A, DATA_UBER!J:J, 0), 0)))</f>
      </c>
      <c r="K45" s="54">
        <v>294.59</v>
      </c>
      <c r="L45" s="50">
        <v>84.5</v>
      </c>
      <c r="M45" s="54">
        <v>294.59</v>
      </c>
      <c r="N45" s="54">
        <v>50</v>
      </c>
      <c r="O45" s="54">
        <v>0</v>
      </c>
      <c r="P45" s="54">
        <v>0</v>
      </c>
      <c r="Q45" s="54">
        <v>0</v>
      </c>
      <c r="R45" s="55">
        <v>244.59</v>
      </c>
      <c r="S45" s="18" t="s">
        <v>279</v>
      </c>
    </row>
    <row r="46" ht="28" customHeight="1" spans="1:19" x14ac:dyDescent="0.25">
      <c r="A46" s="8" t="s">
        <v>393</v>
      </c>
      <c r="B46" s="9" t="s">
        <v>176</v>
      </c>
      <c r="C46" s="10" t="s">
        <v>176</v>
      </c>
      <c r="D46" s="10" t="s">
        <v>176</v>
      </c>
      <c r="E46" s="47" t="s">
        <v>394</v>
      </c>
      <c r="F46" s="47" t="s">
        <v>177</v>
      </c>
      <c r="G46" s="48" t="s">
        <v>178</v>
      </c>
      <c r="H46" s="48" t="s">
        <v>178</v>
      </c>
      <c r="I46" s="49">
        <f>IF(B46="", "", IF(OR(C46="", C46="—"), 0, IFNA(XLOOKUP(C46, DATA_UBER!A:A, DATA_UBER!Z:Z, 0), 0)))</f>
      </c>
      <c r="J46" s="50">
        <f>IF(B46="", "", IF(OR(C46="", C46="—"), 0, IFNA(XLOOKUP(C46, DATA_UBER!A:A, DATA_UBER!J:J, 0), 0)))</f>
      </c>
      <c r="K46" s="49">
        <v>77.85</v>
      </c>
      <c r="L46" s="50">
        <v>116.3</v>
      </c>
      <c r="M46" s="49">
        <v>77.85</v>
      </c>
      <c r="N46" s="49">
        <v>50</v>
      </c>
      <c r="O46" s="49">
        <v>0</v>
      </c>
      <c r="P46" s="49">
        <v>0</v>
      </c>
      <c r="Q46" s="49">
        <v>0</v>
      </c>
      <c r="R46" s="55">
        <v>27.85</v>
      </c>
      <c r="S46" s="12" t="s">
        <v>279</v>
      </c>
    </row>
    <row r="47" ht="28" customHeight="1" spans="1:19" x14ac:dyDescent="0.25">
      <c r="A47" s="14" t="s">
        <v>395</v>
      </c>
      <c r="B47" s="15" t="s">
        <v>396</v>
      </c>
      <c r="C47" s="16" t="s">
        <v>397</v>
      </c>
      <c r="D47" s="16" t="s">
        <v>279</v>
      </c>
      <c r="E47" s="52" t="s">
        <v>398</v>
      </c>
      <c r="F47" s="52" t="s">
        <v>279</v>
      </c>
      <c r="G47" s="53" t="s">
        <v>399</v>
      </c>
      <c r="H47" s="53" t="s">
        <v>279</v>
      </c>
      <c r="I47" s="54">
        <f>IF(B47="", "", IF(OR(C47="", C47="—"), 0, IFNA(XLOOKUP(C47, DATA_UBER!A:A, DATA_UBER!Z:Z, 0), 0)))</f>
      </c>
      <c r="J47" s="50">
        <f>IF(B47="", "", IF(OR(C47="", C47="—"), 0, IFNA(XLOOKUP(C47, DATA_UBER!A:A, DATA_UBER!J:J, 0), 0)))</f>
      </c>
      <c r="K47" s="54">
        <f>IF(B47="", "", IF(OR(D47="", D47="—"), 0, IFNA(XLOOKUP(D47, DATA_BOLT!A:A, DATA_BOLT!Z:Z, 0), 0)))</f>
      </c>
      <c r="L47" s="50">
        <f>IF(B47="", "", IF(OR(D47="", D47="—"), 0, IFNA(XLOOKUP(D47, DATA_BOLT!A:A, DATA_BOLT!G:G, 0), 0)))</f>
      </c>
      <c r="M47" s="54">
        <f>IF(B47="", "", I47 + K47)</f>
      </c>
      <c r="N47" s="54">
        <f>IF(B47="", "", IF(OR(I47&lt;&gt;0, K47&lt;&gt;0, J47&lt;&gt;0, L47&lt;&gt;0), IFNA(XLOOKUP(B47, ANNUAIRE_FLOTTE!B:B, ANNUAIRE_FLOTTE!J:J, 50), 50), 0))</f>
      </c>
      <c r="O47" s="54">
        <v>0</v>
      </c>
      <c r="P47" s="54">
        <v>0</v>
      </c>
      <c r="Q47" s="54">
        <v>0</v>
      </c>
      <c r="R47" s="56">
        <f>IF(B47="", "", M47 - N47 - O47 - Q47 + P47)</f>
      </c>
      <c r="S47" s="18" t="s">
        <v>279</v>
      </c>
    </row>
    <row r="48" ht="28" customHeight="1" spans="1:19" x14ac:dyDescent="0.25">
      <c r="A48" s="8" t="s">
        <v>400</v>
      </c>
      <c r="B48" s="9" t="s">
        <v>183</v>
      </c>
      <c r="C48" s="10" t="s">
        <v>401</v>
      </c>
      <c r="D48" s="10" t="s">
        <v>183</v>
      </c>
      <c r="E48" s="47" t="s">
        <v>402</v>
      </c>
      <c r="F48" s="47" t="s">
        <v>184</v>
      </c>
      <c r="G48" s="48" t="s">
        <v>403</v>
      </c>
      <c r="H48" s="48" t="s">
        <v>185</v>
      </c>
      <c r="I48" s="49">
        <f>IF(B48="", "", IF(OR(C48="", C48="—"), 0, IFNA(XLOOKUP(C48, DATA_UBER!A:A, DATA_UBER!Z:Z, 0), 0)))</f>
      </c>
      <c r="J48" s="50">
        <f>IF(B48="", "", IF(OR(C48="", C48="—"), 0, IFNA(XLOOKUP(C48, DATA_UBER!A:A, DATA_UBER!J:J, 0), 0)))</f>
      </c>
      <c r="K48" s="49">
        <v>263.32</v>
      </c>
      <c r="L48" s="50">
        <v>216.7</v>
      </c>
      <c r="M48" s="49">
        <v>263.32</v>
      </c>
      <c r="N48" s="49">
        <v>50</v>
      </c>
      <c r="O48" s="49">
        <v>0</v>
      </c>
      <c r="P48" s="49">
        <v>0</v>
      </c>
      <c r="Q48" s="49">
        <v>0</v>
      </c>
      <c r="R48" s="55">
        <v>213.32</v>
      </c>
      <c r="S48" s="12" t="s">
        <v>279</v>
      </c>
    </row>
    <row r="49" ht="28" customHeight="1" spans="1:19" x14ac:dyDescent="0.25">
      <c r="A49" s="14" t="s">
        <v>404</v>
      </c>
      <c r="B49" s="15" t="s">
        <v>405</v>
      </c>
      <c r="C49" s="16" t="s">
        <v>405</v>
      </c>
      <c r="D49" s="16" t="s">
        <v>279</v>
      </c>
      <c r="E49" s="52" t="s">
        <v>406</v>
      </c>
      <c r="F49" s="52" t="s">
        <v>279</v>
      </c>
      <c r="G49" s="53" t="s">
        <v>407</v>
      </c>
      <c r="H49" s="53" t="s">
        <v>279</v>
      </c>
      <c r="I49" s="54">
        <f>IF(B49="", "", IF(OR(C49="", C49="—"), 0, IFNA(XLOOKUP(C49, DATA_UBER!A:A, DATA_UBER!Z:Z, 0), 0)))</f>
      </c>
      <c r="J49" s="50">
        <f>IF(B49="", "", IF(OR(C49="", C49="—"), 0, IFNA(XLOOKUP(C49, DATA_UBER!A:A, DATA_UBER!J:J, 0), 0)))</f>
      </c>
      <c r="K49" s="54">
        <f>IF(B49="", "", IF(OR(D49="", D49="—"), 0, IFNA(XLOOKUP(D49, DATA_BOLT!A:A, DATA_BOLT!Z:Z, 0), 0)))</f>
      </c>
      <c r="L49" s="50">
        <f>IF(B49="", "", IF(OR(D49="", D49="—"), 0, IFNA(XLOOKUP(D49, DATA_BOLT!A:A, DATA_BOLT!G:G, 0), 0)))</f>
      </c>
      <c r="M49" s="54">
        <f>IF(B49="", "", I49 + K49)</f>
      </c>
      <c r="N49" s="54">
        <f>IF(B49="", "", IF(OR(I49&lt;&gt;0, K49&lt;&gt;0, J49&lt;&gt;0, L49&lt;&gt;0), IFNA(XLOOKUP(B49, ANNUAIRE_FLOTTE!B:B, ANNUAIRE_FLOTTE!J:J, 50), 50), 0))</f>
      </c>
      <c r="O49" s="54">
        <v>0</v>
      </c>
      <c r="P49" s="54">
        <v>0</v>
      </c>
      <c r="Q49" s="54">
        <v>0</v>
      </c>
      <c r="R49" s="56">
        <f>IF(B49="", "", M49 - N49 - O49 - Q49 + P49)</f>
      </c>
      <c r="S49" s="18" t="s">
        <v>279</v>
      </c>
    </row>
    <row r="50" ht="28" customHeight="1" spans="1:19" x14ac:dyDescent="0.25">
      <c r="A50" s="8" t="s">
        <v>408</v>
      </c>
      <c r="B50" s="9" t="s">
        <v>187</v>
      </c>
      <c r="C50" s="10" t="s">
        <v>55</v>
      </c>
      <c r="D50" s="10" t="s">
        <v>187</v>
      </c>
      <c r="E50" s="47" t="s">
        <v>409</v>
      </c>
      <c r="F50" s="47" t="s">
        <v>188</v>
      </c>
      <c r="G50" s="48" t="s">
        <v>189</v>
      </c>
      <c r="H50" s="48" t="s">
        <v>189</v>
      </c>
      <c r="I50" s="49">
        <v>54.16</v>
      </c>
      <c r="J50" s="50">
        <v>12.8</v>
      </c>
      <c r="K50" s="49">
        <v>145.16</v>
      </c>
      <c r="L50" s="50">
        <v>114.8</v>
      </c>
      <c r="M50" s="49">
        <v>199.32</v>
      </c>
      <c r="N50" s="49">
        <v>50</v>
      </c>
      <c r="O50" s="49">
        <v>0</v>
      </c>
      <c r="P50" s="49">
        <v>0</v>
      </c>
      <c r="Q50" s="49">
        <v>0</v>
      </c>
      <c r="R50" s="55">
        <v>149.32</v>
      </c>
      <c r="S50" s="12" t="s">
        <v>279</v>
      </c>
    </row>
    <row r="51" ht="28" customHeight="1" spans="1:19" x14ac:dyDescent="0.25">
      <c r="A51" s="14" t="s">
        <v>410</v>
      </c>
      <c r="B51" s="15" t="s">
        <v>411</v>
      </c>
      <c r="C51" s="16" t="s">
        <v>411</v>
      </c>
      <c r="D51" s="16" t="s">
        <v>411</v>
      </c>
      <c r="E51" s="52" t="s">
        <v>412</v>
      </c>
      <c r="F51" s="52" t="s">
        <v>412</v>
      </c>
      <c r="G51" s="53" t="s">
        <v>413</v>
      </c>
      <c r="H51" s="53" t="s">
        <v>413</v>
      </c>
      <c r="I51" s="54">
        <f>IF(B51="", "", IF(OR(C51="", C51="—"), 0, IFNA(XLOOKUP(C51, DATA_UBER!A:A, DATA_UBER!Z:Z, 0), 0)))</f>
      </c>
      <c r="J51" s="50">
        <f>IF(B51="", "", IF(OR(C51="", C51="—"), 0, IFNA(XLOOKUP(C51, DATA_UBER!A:A, DATA_UBER!J:J, 0), 0)))</f>
      </c>
      <c r="K51" s="54">
        <f>IF(B51="", "", IF(OR(D51="", D51="—"), 0, IFNA(XLOOKUP(D51, DATA_BOLT!A:A, DATA_BOLT!Z:Z, 0), 0)))</f>
      </c>
      <c r="L51" s="50">
        <f>IF(B51="", "", IF(OR(D51="", D51="—"), 0, IFNA(XLOOKUP(D51, DATA_BOLT!A:A, DATA_BOLT!G:G, 0), 0)))</f>
      </c>
      <c r="M51" s="54">
        <f>IF(B51="", "", I51 + K51)</f>
      </c>
      <c r="N51" s="54">
        <f>IF(B51="", "", IF(OR(I51&lt;&gt;0, K51&lt;&gt;0, J51&lt;&gt;0, L51&lt;&gt;0), IFNA(XLOOKUP(B51, ANNUAIRE_FLOTTE!B:B, ANNUAIRE_FLOTTE!J:J, 50), 50), 0))</f>
      </c>
      <c r="O51" s="54">
        <v>0</v>
      </c>
      <c r="P51" s="54">
        <v>0</v>
      </c>
      <c r="Q51" s="54">
        <v>0</v>
      </c>
      <c r="R51" s="56">
        <f>IF(B51="", "", M51 - N51 - O51 - Q51 + P51)</f>
      </c>
      <c r="S51" s="18" t="s">
        <v>279</v>
      </c>
    </row>
    <row r="52" ht="28" customHeight="1" spans="1:19" x14ac:dyDescent="0.25">
      <c r="A52" s="8" t="s">
        <v>414</v>
      </c>
      <c r="B52" s="9" t="s">
        <v>52</v>
      </c>
      <c r="C52" s="10" t="s">
        <v>52</v>
      </c>
      <c r="D52" s="10" t="s">
        <v>279</v>
      </c>
      <c r="E52" s="47" t="s">
        <v>415</v>
      </c>
      <c r="F52" s="47" t="s">
        <v>279</v>
      </c>
      <c r="G52" s="48" t="s">
        <v>416</v>
      </c>
      <c r="H52" s="48" t="s">
        <v>279</v>
      </c>
      <c r="I52" s="49">
        <v>19.97</v>
      </c>
      <c r="J52" s="50">
        <f>IF(B52="", "", IF(OR(C52="", C52="—"), 0, IFNA(XLOOKUP(C52, DATA_UBER!A:A, DATA_UBER!J:J, 0), 0)))</f>
      </c>
      <c r="K52" s="49">
        <f>IF(B52="", "", IF(OR(D52="", D52="—"), 0, IFNA(XLOOKUP(D52, DATA_BOLT!A:A, DATA_BOLT!Z:Z, 0), 0)))</f>
      </c>
      <c r="L52" s="50">
        <f>IF(B52="", "", IF(OR(D52="", D52="—"), 0, IFNA(XLOOKUP(D52, DATA_BOLT!A:A, DATA_BOLT!G:G, 0), 0)))</f>
      </c>
      <c r="M52" s="49">
        <v>19.97</v>
      </c>
      <c r="N52" s="49">
        <v>50</v>
      </c>
      <c r="O52" s="49">
        <v>20</v>
      </c>
      <c r="P52" s="49">
        <v>0</v>
      </c>
      <c r="Q52" s="49">
        <v>0</v>
      </c>
      <c r="R52" s="51">
        <v>-50.03</v>
      </c>
      <c r="S52" s="12" t="s">
        <v>279</v>
      </c>
    </row>
    <row r="53" ht="28" customHeight="1" spans="1:19" x14ac:dyDescent="0.25">
      <c r="A53" s="14" t="s">
        <v>417</v>
      </c>
      <c r="B53" s="15" t="s">
        <v>418</v>
      </c>
      <c r="C53" s="16" t="s">
        <v>418</v>
      </c>
      <c r="D53" s="16" t="s">
        <v>418</v>
      </c>
      <c r="E53" s="52" t="s">
        <v>419</v>
      </c>
      <c r="F53" s="52" t="s">
        <v>420</v>
      </c>
      <c r="G53" s="53" t="s">
        <v>421</v>
      </c>
      <c r="H53" s="53" t="s">
        <v>421</v>
      </c>
      <c r="I53" s="54">
        <f>IF(B53="", "", IF(OR(C53="", C53="—"), 0, IFNA(XLOOKUP(C53, DATA_UBER!A:A, DATA_UBER!Z:Z, 0), 0)))</f>
      </c>
      <c r="J53" s="50">
        <f>IF(B53="", "", IF(OR(C53="", C53="—"), 0, IFNA(XLOOKUP(C53, DATA_UBER!A:A, DATA_UBER!J:J, 0), 0)))</f>
      </c>
      <c r="K53" s="54">
        <f>IF(B53="", "", IF(OR(D53="", D53="—"), 0, IFNA(XLOOKUP(D53, DATA_BOLT!A:A, DATA_BOLT!Z:Z, 0), 0)))</f>
      </c>
      <c r="L53" s="50">
        <f>IF(B53="", "", IF(OR(D53="", D53="—"), 0, IFNA(XLOOKUP(D53, DATA_BOLT!A:A, DATA_BOLT!G:G, 0), 0)))</f>
      </c>
      <c r="M53" s="54">
        <f>IF(B53="", "", I53 + K53)</f>
      </c>
      <c r="N53" s="54">
        <f>IF(B53="", "", IF(OR(I53&lt;&gt;0, K53&lt;&gt;0, J53&lt;&gt;0, L53&lt;&gt;0), IFNA(XLOOKUP(B53, ANNUAIRE_FLOTTE!B:B, ANNUAIRE_FLOTTE!J:J, 50), 50), 0))</f>
      </c>
      <c r="O53" s="54">
        <v>0</v>
      </c>
      <c r="P53" s="54">
        <v>0</v>
      </c>
      <c r="Q53" s="54">
        <v>0</v>
      </c>
      <c r="R53" s="56">
        <f>IF(B53="", "", M53 - N53 - O53 - Q53 + P53)</f>
      </c>
      <c r="S53" s="18" t="s">
        <v>279</v>
      </c>
    </row>
    <row r="54" ht="28" customHeight="1" spans="1:19" x14ac:dyDescent="0.25">
      <c r="A54" s="8" t="s">
        <v>422</v>
      </c>
      <c r="B54" s="9" t="s">
        <v>423</v>
      </c>
      <c r="C54" s="10" t="s">
        <v>423</v>
      </c>
      <c r="D54" s="10" t="s">
        <v>191</v>
      </c>
      <c r="E54" s="47" t="s">
        <v>192</v>
      </c>
      <c r="F54" s="47" t="s">
        <v>192</v>
      </c>
      <c r="G54" s="48" t="s">
        <v>193</v>
      </c>
      <c r="H54" s="48" t="s">
        <v>193</v>
      </c>
      <c r="I54" s="49">
        <f>IF(B54="", "", IF(OR(C54="", C54="—"), 0, IFNA(XLOOKUP(C54, DATA_UBER!A:A, DATA_UBER!Z:Z, 0), 0)))</f>
      </c>
      <c r="J54" s="50">
        <f>IF(B54="", "", IF(OR(C54="", C54="—"), 0, IFNA(XLOOKUP(C54, DATA_UBER!A:A, DATA_UBER!J:J, 0), 0)))</f>
      </c>
      <c r="K54" s="49">
        <v>78.66</v>
      </c>
      <c r="L54" s="50">
        <f>IF(B54="", "", IF(OR(D54="", D54="—"), 0, IFNA(XLOOKUP(D54, DATA_BOLT!A:A, DATA_BOLT!G:G, 0), 0)))</f>
      </c>
      <c r="M54" s="49">
        <v>78.66</v>
      </c>
      <c r="N54" s="49">
        <v>50</v>
      </c>
      <c r="O54" s="49">
        <v>0</v>
      </c>
      <c r="P54" s="49">
        <v>0</v>
      </c>
      <c r="Q54" s="49">
        <v>0</v>
      </c>
      <c r="R54" s="55">
        <v>28.66</v>
      </c>
      <c r="S54" s="12" t="s">
        <v>279</v>
      </c>
    </row>
    <row r="55" ht="28" customHeight="1" spans="1:19" x14ac:dyDescent="0.25">
      <c r="A55" s="14" t="s">
        <v>424</v>
      </c>
      <c r="B55" s="15" t="s">
        <v>195</v>
      </c>
      <c r="C55" s="16" t="s">
        <v>82</v>
      </c>
      <c r="D55" s="16" t="s">
        <v>195</v>
      </c>
      <c r="E55" s="52" t="s">
        <v>425</v>
      </c>
      <c r="F55" s="52" t="s">
        <v>196</v>
      </c>
      <c r="G55" s="53" t="s">
        <v>197</v>
      </c>
      <c r="H55" s="53" t="s">
        <v>197</v>
      </c>
      <c r="I55" s="54">
        <v>17.43</v>
      </c>
      <c r="J55" s="50">
        <f>IF(B55="", "", IF(OR(C55="", C55="—"), 0, IFNA(XLOOKUP(C55, DATA_UBER!A:A, DATA_UBER!J:J, 0), 0)))</f>
      </c>
      <c r="K55" s="54">
        <v>45.21</v>
      </c>
      <c r="L55" s="50">
        <v>31.8</v>
      </c>
      <c r="M55" s="54">
        <v>62.64</v>
      </c>
      <c r="N55" s="54">
        <v>50</v>
      </c>
      <c r="O55" s="54">
        <v>0</v>
      </c>
      <c r="P55" s="54">
        <v>0</v>
      </c>
      <c r="Q55" s="54">
        <v>0</v>
      </c>
      <c r="R55" s="55">
        <v>12.64</v>
      </c>
      <c r="S55" s="18" t="s">
        <v>279</v>
      </c>
    </row>
    <row r="56" ht="28" customHeight="1" spans="1:19" x14ac:dyDescent="0.25">
      <c r="A56" s="8" t="s">
        <v>426</v>
      </c>
      <c r="B56" s="9" t="s">
        <v>427</v>
      </c>
      <c r="C56" s="10" t="s">
        <v>427</v>
      </c>
      <c r="D56" s="10" t="s">
        <v>428</v>
      </c>
      <c r="E56" s="47" t="s">
        <v>429</v>
      </c>
      <c r="F56" s="47" t="s">
        <v>430</v>
      </c>
      <c r="G56" s="48" t="s">
        <v>431</v>
      </c>
      <c r="H56" s="48" t="s">
        <v>431</v>
      </c>
      <c r="I56" s="49">
        <f>IF(B56="", "", IF(OR(C56="", C56="—"), 0, IFNA(XLOOKUP(C56, DATA_UBER!A:A, DATA_UBER!Z:Z, 0), 0)))</f>
      </c>
      <c r="J56" s="50">
        <f>IF(B56="", "", IF(OR(C56="", C56="—"), 0, IFNA(XLOOKUP(C56, DATA_UBER!A:A, DATA_UBER!J:J, 0), 0)))</f>
      </c>
      <c r="K56" s="49">
        <f>IF(B56="", "", IF(OR(D56="", D56="—"), 0, IFNA(XLOOKUP(D56, DATA_BOLT!A:A, DATA_BOLT!Z:Z, 0), 0)))</f>
      </c>
      <c r="L56" s="50">
        <f>IF(B56="", "", IF(OR(D56="", D56="—"), 0, IFNA(XLOOKUP(D56, DATA_BOLT!A:A, DATA_BOLT!G:G, 0), 0)))</f>
      </c>
      <c r="M56" s="49">
        <f>IF(B56="", "", I56 + K56)</f>
      </c>
      <c r="N56" s="49">
        <f>IF(B56="", "", IF(OR(I56&lt;&gt;0, K56&lt;&gt;0, J56&lt;&gt;0, L56&lt;&gt;0), IFNA(XLOOKUP(B56, ANNUAIRE_FLOTTE!B:B, ANNUAIRE_FLOTTE!J:J, 50), 50), 0))</f>
      </c>
      <c r="O56" s="49">
        <v>0</v>
      </c>
      <c r="P56" s="49">
        <v>0</v>
      </c>
      <c r="Q56" s="49">
        <v>0</v>
      </c>
      <c r="R56" s="57">
        <f>IF(B56="", "", M56 - N56 - O56 - Q56 + P56)</f>
      </c>
      <c r="S56" s="12" t="s">
        <v>279</v>
      </c>
    </row>
    <row r="57" ht="28" customHeight="1" spans="1:19" x14ac:dyDescent="0.25">
      <c r="A57" s="14" t="s">
        <v>432</v>
      </c>
      <c r="B57" s="15" t="s">
        <v>207</v>
      </c>
      <c r="C57" s="16" t="s">
        <v>433</v>
      </c>
      <c r="D57" s="16" t="s">
        <v>207</v>
      </c>
      <c r="E57" s="52" t="s">
        <v>434</v>
      </c>
      <c r="F57" s="52" t="s">
        <v>208</v>
      </c>
      <c r="G57" s="53" t="s">
        <v>209</v>
      </c>
      <c r="H57" s="53" t="s">
        <v>209</v>
      </c>
      <c r="I57" s="54">
        <f>IF(B57="", "", IF(OR(C57="", C57="—"), 0, IFNA(XLOOKUP(C57, DATA_UBER!A:A, DATA_UBER!Z:Z, 0), 0)))</f>
      </c>
      <c r="J57" s="50">
        <f>IF(B57="", "", IF(OR(C57="", C57="—"), 0, IFNA(XLOOKUP(C57, DATA_UBER!A:A, DATA_UBER!J:J, 0), 0)))</f>
      </c>
      <c r="K57" s="54">
        <v>165.2</v>
      </c>
      <c r="L57" s="50">
        <v>219.6</v>
      </c>
      <c r="M57" s="54">
        <v>165.2</v>
      </c>
      <c r="N57" s="54">
        <v>50</v>
      </c>
      <c r="O57" s="54">
        <v>0</v>
      </c>
      <c r="P57" s="54">
        <v>0</v>
      </c>
      <c r="Q57" s="54">
        <v>0</v>
      </c>
      <c r="R57" s="55">
        <v>115.2</v>
      </c>
      <c r="S57" s="18" t="s">
        <v>279</v>
      </c>
    </row>
    <row r="58" ht="28" customHeight="1" spans="1:19" x14ac:dyDescent="0.25">
      <c r="A58" s="8" t="s">
        <v>435</v>
      </c>
      <c r="B58" s="9" t="s">
        <v>436</v>
      </c>
      <c r="C58" s="10" t="s">
        <v>437</v>
      </c>
      <c r="D58" s="10" t="s">
        <v>279</v>
      </c>
      <c r="E58" s="47" t="s">
        <v>438</v>
      </c>
      <c r="F58" s="47" t="s">
        <v>279</v>
      </c>
      <c r="G58" s="48" t="s">
        <v>439</v>
      </c>
      <c r="H58" s="48" t="s">
        <v>279</v>
      </c>
      <c r="I58" s="49">
        <f>IF(B58="", "", IF(OR(C58="", C58="—"), 0, IFNA(XLOOKUP(C58, DATA_UBER!A:A, DATA_UBER!Z:Z, 0), 0)))</f>
      </c>
      <c r="J58" s="50">
        <f>IF(B58="", "", IF(OR(C58="", C58="—"), 0, IFNA(XLOOKUP(C58, DATA_UBER!A:A, DATA_UBER!J:J, 0), 0)))</f>
      </c>
      <c r="K58" s="49">
        <f>IF(B58="", "", IF(OR(D58="", D58="—"), 0, IFNA(XLOOKUP(D58, DATA_BOLT!A:A, DATA_BOLT!Z:Z, 0), 0)))</f>
      </c>
      <c r="L58" s="50">
        <f>IF(B58="", "", IF(OR(D58="", D58="—"), 0, IFNA(XLOOKUP(D58, DATA_BOLT!A:A, DATA_BOLT!G:G, 0), 0)))</f>
      </c>
      <c r="M58" s="49">
        <f>IF(B58="", "", I58 + K58)</f>
      </c>
      <c r="N58" s="49">
        <f>IF(B58="", "", IF(OR(I58&lt;&gt;0, K58&lt;&gt;0, J58&lt;&gt;0, L58&lt;&gt;0), IFNA(XLOOKUP(B58, ANNUAIRE_FLOTTE!B:B, ANNUAIRE_FLOTTE!J:J, 50), 50), 0))</f>
      </c>
      <c r="O58" s="49">
        <v>0</v>
      </c>
      <c r="P58" s="49">
        <v>0</v>
      </c>
      <c r="Q58" s="49">
        <v>0</v>
      </c>
      <c r="R58" s="57">
        <f>IF(B58="", "", M58 - N58 - O58 - Q58 + P58)</f>
      </c>
      <c r="S58" s="12" t="s">
        <v>279</v>
      </c>
    </row>
    <row r="59" ht="28" customHeight="1" spans="1:19" x14ac:dyDescent="0.25">
      <c r="A59" s="14" t="s">
        <v>440</v>
      </c>
      <c r="B59" s="15" t="s">
        <v>64</v>
      </c>
      <c r="C59" s="16" t="s">
        <v>64</v>
      </c>
      <c r="D59" s="16" t="s">
        <v>64</v>
      </c>
      <c r="E59" s="52" t="s">
        <v>211</v>
      </c>
      <c r="F59" s="52" t="s">
        <v>211</v>
      </c>
      <c r="G59" s="53" t="s">
        <v>212</v>
      </c>
      <c r="H59" s="53" t="s">
        <v>212</v>
      </c>
      <c r="I59" s="54">
        <v>11</v>
      </c>
      <c r="J59" s="50">
        <f>IF(B59="", "", IF(OR(C59="", C59="—"), 0, IFNA(XLOOKUP(C59, DATA_UBER!A:A, DATA_UBER!J:J, 0), 0)))</f>
      </c>
      <c r="K59" s="54">
        <v>253.37</v>
      </c>
      <c r="L59" s="50">
        <v>254.6</v>
      </c>
      <c r="M59" s="54">
        <v>264.37</v>
      </c>
      <c r="N59" s="54">
        <v>50</v>
      </c>
      <c r="O59" s="54">
        <v>137.5</v>
      </c>
      <c r="P59" s="54">
        <v>0</v>
      </c>
      <c r="Q59" s="54">
        <v>0</v>
      </c>
      <c r="R59" s="55">
        <v>76.87</v>
      </c>
      <c r="S59" s="18" t="s">
        <v>279</v>
      </c>
    </row>
    <row r="60" ht="28" customHeight="1" spans="1:19" x14ac:dyDescent="0.25">
      <c r="A60" s="8" t="s">
        <v>441</v>
      </c>
      <c r="B60" s="9" t="s">
        <v>214</v>
      </c>
      <c r="C60" s="10" t="s">
        <v>100</v>
      </c>
      <c r="D60" s="10" t="s">
        <v>214</v>
      </c>
      <c r="E60" s="47" t="s">
        <v>215</v>
      </c>
      <c r="F60" s="47" t="s">
        <v>215</v>
      </c>
      <c r="G60" s="48" t="s">
        <v>216</v>
      </c>
      <c r="H60" s="48" t="s">
        <v>216</v>
      </c>
      <c r="I60" s="49">
        <v>92.49</v>
      </c>
      <c r="J60" s="50">
        <f>IF(B60="", "", IF(OR(C60="", C60="—"), 0, IFNA(XLOOKUP(C60, DATA_UBER!A:A, DATA_UBER!J:J, 0), 0)))</f>
      </c>
      <c r="K60" s="49">
        <v>53.98</v>
      </c>
      <c r="L60" s="50">
        <v>89.6</v>
      </c>
      <c r="M60" s="49">
        <v>146.47</v>
      </c>
      <c r="N60" s="49">
        <v>50</v>
      </c>
      <c r="O60" s="49">
        <v>0</v>
      </c>
      <c r="P60" s="49">
        <v>0</v>
      </c>
      <c r="Q60" s="49">
        <v>0</v>
      </c>
      <c r="R60" s="55">
        <v>96.47</v>
      </c>
      <c r="S60" s="12" t="s">
        <v>279</v>
      </c>
    </row>
    <row r="61" ht="28" customHeight="1" spans="1:19" x14ac:dyDescent="0.25">
      <c r="A61" s="14" t="s">
        <v>442</v>
      </c>
      <c r="B61" s="15" t="s">
        <v>222</v>
      </c>
      <c r="C61" s="16" t="s">
        <v>222</v>
      </c>
      <c r="D61" s="16" t="s">
        <v>222</v>
      </c>
      <c r="E61" s="52" t="s">
        <v>223</v>
      </c>
      <c r="F61" s="52" t="s">
        <v>223</v>
      </c>
      <c r="G61" s="53" t="s">
        <v>224</v>
      </c>
      <c r="H61" s="53" t="s">
        <v>224</v>
      </c>
      <c r="I61" s="54">
        <f>IF(B61="", "", IF(OR(C61="", C61="—"), 0, IFNA(XLOOKUP(C61, DATA_UBER!A:A, DATA_UBER!Z:Z, 0), 0)))</f>
      </c>
      <c r="J61" s="50">
        <f>IF(B61="", "", IF(OR(C61="", C61="—"), 0, IFNA(XLOOKUP(C61, DATA_UBER!A:A, DATA_UBER!J:J, 0), 0)))</f>
      </c>
      <c r="K61" s="54">
        <v>117.24</v>
      </c>
      <c r="L61" s="50">
        <f>IF(B61="", "", IF(OR(D61="", D61="—"), 0, IFNA(XLOOKUP(D61, DATA_BOLT!A:A, DATA_BOLT!G:G, 0), 0)))</f>
      </c>
      <c r="M61" s="54">
        <v>117.24</v>
      </c>
      <c r="N61" s="54">
        <v>50</v>
      </c>
      <c r="O61" s="54">
        <v>0</v>
      </c>
      <c r="P61" s="54">
        <v>0</v>
      </c>
      <c r="Q61" s="54">
        <v>0</v>
      </c>
      <c r="R61" s="55">
        <v>67.24</v>
      </c>
      <c r="S61" s="18" t="s">
        <v>279</v>
      </c>
    </row>
    <row r="62" ht="28" customHeight="1" spans="1:19" x14ac:dyDescent="0.25">
      <c r="A62" s="8" t="s">
        <v>443</v>
      </c>
      <c r="B62" s="9" t="s">
        <v>76</v>
      </c>
      <c r="C62" s="10" t="s">
        <v>76</v>
      </c>
      <c r="D62" s="10" t="s">
        <v>76</v>
      </c>
      <c r="E62" s="47" t="s">
        <v>444</v>
      </c>
      <c r="F62" s="47" t="s">
        <v>444</v>
      </c>
      <c r="G62" s="48" t="s">
        <v>445</v>
      </c>
      <c r="H62" s="48" t="s">
        <v>445</v>
      </c>
      <c r="I62" s="49">
        <v>-5.87</v>
      </c>
      <c r="J62" s="50">
        <v>23.96</v>
      </c>
      <c r="K62" s="49">
        <f>IF(B62="", "", IF(OR(D62="", D62="—"), 0, IFNA(XLOOKUP(D62, DATA_BOLT!A:A, DATA_BOLT!Z:Z, 0), 0)))</f>
      </c>
      <c r="L62" s="50">
        <f>IF(B62="", "", IF(OR(D62="", D62="—"), 0, IFNA(XLOOKUP(D62, DATA_BOLT!A:A, DATA_BOLT!G:G, 0), 0)))</f>
      </c>
      <c r="M62" s="49">
        <v>-5.87</v>
      </c>
      <c r="N62" s="49">
        <v>50</v>
      </c>
      <c r="O62" s="49">
        <v>0</v>
      </c>
      <c r="P62" s="49">
        <v>0</v>
      </c>
      <c r="Q62" s="49">
        <v>0</v>
      </c>
      <c r="R62" s="51">
        <v>-55.87</v>
      </c>
      <c r="S62" s="12" t="s">
        <v>279</v>
      </c>
    </row>
    <row r="63" ht="28" customHeight="1" spans="1:19" x14ac:dyDescent="0.25">
      <c r="A63" s="14" t="s">
        <v>446</v>
      </c>
      <c r="B63" s="15" t="s">
        <v>447</v>
      </c>
      <c r="C63" s="16" t="s">
        <v>448</v>
      </c>
      <c r="D63" s="16" t="s">
        <v>279</v>
      </c>
      <c r="E63" s="52" t="s">
        <v>449</v>
      </c>
      <c r="F63" s="52" t="s">
        <v>279</v>
      </c>
      <c r="G63" s="53" t="s">
        <v>450</v>
      </c>
      <c r="H63" s="53" t="s">
        <v>279</v>
      </c>
      <c r="I63" s="54">
        <f>IF(B63="", "", IF(OR(C63="", C63="—"), 0, IFNA(XLOOKUP(C63, DATA_UBER!A:A, DATA_UBER!Z:Z, 0), 0)))</f>
      </c>
      <c r="J63" s="50">
        <f>IF(B63="", "", IF(OR(C63="", C63="—"), 0, IFNA(XLOOKUP(C63, DATA_UBER!A:A, DATA_UBER!J:J, 0), 0)))</f>
      </c>
      <c r="K63" s="54">
        <f>IF(B63="", "", IF(OR(D63="", D63="—"), 0, IFNA(XLOOKUP(D63, DATA_BOLT!A:A, DATA_BOLT!Z:Z, 0), 0)))</f>
      </c>
      <c r="L63" s="50">
        <f>IF(B63="", "", IF(OR(D63="", D63="—"), 0, IFNA(XLOOKUP(D63, DATA_BOLT!A:A, DATA_BOLT!G:G, 0), 0)))</f>
      </c>
      <c r="M63" s="54">
        <f>IF(B63="", "", I63 + K63)</f>
      </c>
      <c r="N63" s="54">
        <f>IF(B63="", "", IF(OR(I63&lt;&gt;0, K63&lt;&gt;0, J63&lt;&gt;0, L63&lt;&gt;0), IFNA(XLOOKUP(B63, ANNUAIRE_FLOTTE!B:B, ANNUAIRE_FLOTTE!J:J, 50), 50), 0))</f>
      </c>
      <c r="O63" s="54">
        <v>0</v>
      </c>
      <c r="P63" s="54">
        <v>0</v>
      </c>
      <c r="Q63" s="54">
        <v>0</v>
      </c>
      <c r="R63" s="56">
        <f>IF(B63="", "", M63 - N63 - O63 - Q63 + P63)</f>
      </c>
      <c r="S63" s="18" t="s">
        <v>279</v>
      </c>
    </row>
    <row r="64" ht="28" customHeight="1" spans="1:19" x14ac:dyDescent="0.25">
      <c r="A64" s="8" t="s">
        <v>451</v>
      </c>
      <c r="B64" s="9" t="s">
        <v>230</v>
      </c>
      <c r="C64" s="10" t="s">
        <v>230</v>
      </c>
      <c r="D64" s="10" t="s">
        <v>230</v>
      </c>
      <c r="E64" s="47" t="s">
        <v>452</v>
      </c>
      <c r="F64" s="47" t="s">
        <v>231</v>
      </c>
      <c r="G64" s="48" t="s">
        <v>232</v>
      </c>
      <c r="H64" s="48" t="s">
        <v>232</v>
      </c>
      <c r="I64" s="49">
        <f>IF(B64="", "", IF(OR(C64="", C64="—"), 0, IFNA(XLOOKUP(C64, DATA_UBER!A:A, DATA_UBER!Z:Z, 0), 0)))</f>
      </c>
      <c r="J64" s="50">
        <f>IF(B64="", "", IF(OR(C64="", C64="—"), 0, IFNA(XLOOKUP(C64, DATA_UBER!A:A, DATA_UBER!J:J, 0), 0)))</f>
      </c>
      <c r="K64" s="49">
        <v>523</v>
      </c>
      <c r="L64" s="50">
        <v>322.7</v>
      </c>
      <c r="M64" s="49">
        <v>523</v>
      </c>
      <c r="N64" s="49">
        <v>50</v>
      </c>
      <c r="O64" s="49">
        <v>0</v>
      </c>
      <c r="P64" s="49">
        <v>0</v>
      </c>
      <c r="Q64" s="49">
        <v>0</v>
      </c>
      <c r="R64" s="55">
        <v>473</v>
      </c>
      <c r="S64" s="12" t="s">
        <v>279</v>
      </c>
    </row>
    <row r="65" ht="28" customHeight="1" spans="1:19" x14ac:dyDescent="0.25">
      <c r="A65" s="14" t="s">
        <v>453</v>
      </c>
      <c r="B65" s="15" t="s">
        <v>31</v>
      </c>
      <c r="C65" s="16" t="s">
        <v>31</v>
      </c>
      <c r="D65" s="16" t="s">
        <v>31</v>
      </c>
      <c r="E65" s="52" t="s">
        <v>454</v>
      </c>
      <c r="F65" s="52" t="s">
        <v>234</v>
      </c>
      <c r="G65" s="53" t="s">
        <v>235</v>
      </c>
      <c r="H65" s="53" t="s">
        <v>235</v>
      </c>
      <c r="I65" s="54">
        <v>21.12</v>
      </c>
      <c r="J65" s="50">
        <v>12.95</v>
      </c>
      <c r="K65" s="54">
        <v>577.93</v>
      </c>
      <c r="L65" s="50">
        <v>227.9</v>
      </c>
      <c r="M65" s="54">
        <v>599.05</v>
      </c>
      <c r="N65" s="54">
        <v>50</v>
      </c>
      <c r="O65" s="54">
        <v>0</v>
      </c>
      <c r="P65" s="54">
        <v>0</v>
      </c>
      <c r="Q65" s="54">
        <v>0</v>
      </c>
      <c r="R65" s="55">
        <v>549.05</v>
      </c>
      <c r="S65" s="18" t="s">
        <v>279</v>
      </c>
    </row>
    <row r="66" ht="28" customHeight="1" spans="1:19" x14ac:dyDescent="0.25">
      <c r="A66" s="8" t="s">
        <v>455</v>
      </c>
      <c r="B66" s="9" t="s">
        <v>61</v>
      </c>
      <c r="C66" s="10" t="s">
        <v>61</v>
      </c>
      <c r="D66" s="10" t="s">
        <v>61</v>
      </c>
      <c r="E66" s="47" t="s">
        <v>456</v>
      </c>
      <c r="F66" s="47" t="s">
        <v>241</v>
      </c>
      <c r="G66" s="48" t="s">
        <v>457</v>
      </c>
      <c r="H66" s="48" t="s">
        <v>242</v>
      </c>
      <c r="I66" s="49">
        <v>19.97</v>
      </c>
      <c r="J66" s="50">
        <f>IF(B66="", "", IF(OR(C66="", C66="—"), 0, IFNA(XLOOKUP(C66, DATA_UBER!A:A, DATA_UBER!J:J, 0), 0)))</f>
      </c>
      <c r="K66" s="49">
        <v>505.27</v>
      </c>
      <c r="L66" s="50">
        <v>141.3</v>
      </c>
      <c r="M66" s="49">
        <v>525.24</v>
      </c>
      <c r="N66" s="49">
        <v>50</v>
      </c>
      <c r="O66" s="49">
        <v>0</v>
      </c>
      <c r="P66" s="49">
        <v>0</v>
      </c>
      <c r="Q66" s="49">
        <v>0</v>
      </c>
      <c r="R66" s="55">
        <v>475.24</v>
      </c>
      <c r="S66" s="12" t="s">
        <v>279</v>
      </c>
    </row>
    <row r="67" ht="28" customHeight="1" spans="1:19" x14ac:dyDescent="0.25">
      <c r="A67" s="14" t="s">
        <v>458</v>
      </c>
      <c r="B67" s="15" t="s">
        <v>459</v>
      </c>
      <c r="C67" s="16" t="s">
        <v>459</v>
      </c>
      <c r="D67" s="16" t="s">
        <v>244</v>
      </c>
      <c r="E67" s="52" t="s">
        <v>245</v>
      </c>
      <c r="F67" s="52" t="s">
        <v>245</v>
      </c>
      <c r="G67" s="53" t="s">
        <v>212</v>
      </c>
      <c r="H67" s="53" t="s">
        <v>246</v>
      </c>
      <c r="I67" s="54">
        <f>IF(B67="", "", IF(OR(C67="", C67="—"), 0, IFNA(XLOOKUP(C67, DATA_UBER!A:A, DATA_UBER!Z:Z, 0), 0)))</f>
      </c>
      <c r="J67" s="50">
        <f>IF(B67="", "", IF(OR(C67="", C67="—"), 0, IFNA(XLOOKUP(C67, DATA_UBER!A:A, DATA_UBER!J:J, 0), 0)))</f>
      </c>
      <c r="K67" s="54">
        <v>363.2</v>
      </c>
      <c r="L67" s="50">
        <v>14.9</v>
      </c>
      <c r="M67" s="54">
        <v>363.2</v>
      </c>
      <c r="N67" s="54">
        <v>50</v>
      </c>
      <c r="O67" s="54">
        <v>0</v>
      </c>
      <c r="P67" s="54">
        <v>0</v>
      </c>
      <c r="Q67" s="54">
        <v>0</v>
      </c>
      <c r="R67" s="55">
        <v>313.2</v>
      </c>
      <c r="S67" s="18" t="s">
        <v>279</v>
      </c>
    </row>
    <row r="68" ht="28" customHeight="1" spans="1:19" x14ac:dyDescent="0.25">
      <c r="A68" s="8" t="s">
        <v>460</v>
      </c>
      <c r="B68" s="9" t="s">
        <v>461</v>
      </c>
      <c r="C68" s="10" t="s">
        <v>461</v>
      </c>
      <c r="D68" s="10" t="s">
        <v>279</v>
      </c>
      <c r="E68" s="47" t="s">
        <v>462</v>
      </c>
      <c r="F68" s="47" t="s">
        <v>279</v>
      </c>
      <c r="G68" s="48" t="s">
        <v>463</v>
      </c>
      <c r="H68" s="48" t="s">
        <v>279</v>
      </c>
      <c r="I68" s="49">
        <f>IF(B68="", "", IF(OR(C68="", C68="—"), 0, IFNA(XLOOKUP(C68, DATA_UBER!A:A, DATA_UBER!Z:Z, 0), 0)))</f>
      </c>
      <c r="J68" s="50">
        <f>IF(B68="", "", IF(OR(C68="", C68="—"), 0, IFNA(XLOOKUP(C68, DATA_UBER!A:A, DATA_UBER!J:J, 0), 0)))</f>
      </c>
      <c r="K68" s="49">
        <f>IF(B68="", "", IF(OR(D68="", D68="—"), 0, IFNA(XLOOKUP(D68, DATA_BOLT!A:A, DATA_BOLT!Z:Z, 0), 0)))</f>
      </c>
      <c r="L68" s="50">
        <f>IF(B68="", "", IF(OR(D68="", D68="—"), 0, IFNA(XLOOKUP(D68, DATA_BOLT!A:A, DATA_BOLT!G:G, 0), 0)))</f>
      </c>
      <c r="M68" s="49">
        <f>IF(B68="", "", I68 + K68)</f>
      </c>
      <c r="N68" s="49">
        <f>IF(B68="", "", IF(OR(I68&lt;&gt;0, K68&lt;&gt;0, J68&lt;&gt;0, L68&lt;&gt;0), IFNA(XLOOKUP(B68, ANNUAIRE_FLOTTE!B:B, ANNUAIRE_FLOTTE!J:J, 50), 50), 0))</f>
      </c>
      <c r="O68" s="49">
        <v>0</v>
      </c>
      <c r="P68" s="49">
        <v>0</v>
      </c>
      <c r="Q68" s="49">
        <v>0</v>
      </c>
      <c r="R68" s="57">
        <f>IF(B68="", "", M68 - N68 - O68 - Q68 + P68)</f>
      </c>
      <c r="S68" s="12" t="s">
        <v>279</v>
      </c>
    </row>
    <row r="69" ht="28" customHeight="1" spans="1:19" x14ac:dyDescent="0.25">
      <c r="A69" s="14" t="s">
        <v>464</v>
      </c>
      <c r="B69" s="15" t="s">
        <v>465</v>
      </c>
      <c r="C69" s="16" t="s">
        <v>465</v>
      </c>
      <c r="D69" s="16" t="s">
        <v>248</v>
      </c>
      <c r="E69" s="52" t="s">
        <v>466</v>
      </c>
      <c r="F69" s="52" t="s">
        <v>249</v>
      </c>
      <c r="G69" s="53" t="s">
        <v>250</v>
      </c>
      <c r="H69" s="53" t="s">
        <v>250</v>
      </c>
      <c r="I69" s="54">
        <f>IF(B69="", "", IF(OR(C69="", C69="—"), 0, IFNA(XLOOKUP(C69, DATA_UBER!A:A, DATA_UBER!Z:Z, 0), 0)))</f>
      </c>
      <c r="J69" s="50">
        <f>IF(B69="", "", IF(OR(C69="", C69="—"), 0, IFNA(XLOOKUP(C69, DATA_UBER!A:A, DATA_UBER!J:J, 0), 0)))</f>
      </c>
      <c r="K69" s="54">
        <v>5</v>
      </c>
      <c r="L69" s="50">
        <v>33.4</v>
      </c>
      <c r="M69" s="54">
        <v>5</v>
      </c>
      <c r="N69" s="54">
        <v>50</v>
      </c>
      <c r="O69" s="54">
        <v>0</v>
      </c>
      <c r="P69" s="54">
        <v>0</v>
      </c>
      <c r="Q69" s="54">
        <v>0</v>
      </c>
      <c r="R69" s="51">
        <v>-45</v>
      </c>
      <c r="S69" s="18" t="s">
        <v>279</v>
      </c>
    </row>
    <row r="70" ht="28" customHeight="1" spans="1:19" x14ac:dyDescent="0.25">
      <c r="A70" s="8" t="s">
        <v>467</v>
      </c>
      <c r="B70" s="9" t="s">
        <v>468</v>
      </c>
      <c r="C70" s="10" t="s">
        <v>26</v>
      </c>
      <c r="D70" s="10" t="s">
        <v>252</v>
      </c>
      <c r="E70" s="47" t="s">
        <v>469</v>
      </c>
      <c r="F70" s="47" t="s">
        <v>253</v>
      </c>
      <c r="G70" s="48" t="s">
        <v>470</v>
      </c>
      <c r="H70" s="48" t="s">
        <v>254</v>
      </c>
      <c r="I70" s="49">
        <v>53.77</v>
      </c>
      <c r="J70" s="50">
        <f>IF(B70="", "", IF(OR(C70="", C70="—"), 0, IFNA(XLOOKUP(C70, DATA_UBER!A:A, DATA_UBER!J:J, 0), 0)))</f>
      </c>
      <c r="K70" s="49">
        <v>166.79</v>
      </c>
      <c r="L70" s="50">
        <v>166.4</v>
      </c>
      <c r="M70" s="49">
        <v>220.56</v>
      </c>
      <c r="N70" s="49">
        <v>50</v>
      </c>
      <c r="O70" s="49">
        <v>0</v>
      </c>
      <c r="P70" s="49">
        <v>0</v>
      </c>
      <c r="Q70" s="49">
        <v>0</v>
      </c>
      <c r="R70" s="55">
        <v>170.56</v>
      </c>
      <c r="S70" s="58" t="s">
        <v>471</v>
      </c>
    </row>
    <row r="71" ht="28" customHeight="1" spans="1:19" x14ac:dyDescent="0.25">
      <c r="A71" s="14" t="s">
        <v>472</v>
      </c>
      <c r="B71" s="15" t="s">
        <v>73</v>
      </c>
      <c r="C71" s="16" t="s">
        <v>73</v>
      </c>
      <c r="D71" s="16" t="s">
        <v>73</v>
      </c>
      <c r="E71" s="52" t="s">
        <v>473</v>
      </c>
      <c r="F71" s="52" t="s">
        <v>474</v>
      </c>
      <c r="G71" s="53" t="s">
        <v>475</v>
      </c>
      <c r="H71" s="53" t="s">
        <v>476</v>
      </c>
      <c r="I71" s="54">
        <v>103.01</v>
      </c>
      <c r="J71" s="50">
        <f>IF(B71="", "", IF(OR(C71="", C71="—"), 0, IFNA(XLOOKUP(C71, DATA_UBER!A:A, DATA_UBER!J:J, 0), 0)))</f>
      </c>
      <c r="K71" s="54">
        <f>IF(B71="", "", IF(OR(D71="", D71="—"), 0, IFNA(XLOOKUP(D71, DATA_BOLT!A:A, DATA_BOLT!Z:Z, 0), 0)))</f>
      </c>
      <c r="L71" s="50">
        <f>IF(B71="", "", IF(OR(D71="", D71="—"), 0, IFNA(XLOOKUP(D71, DATA_BOLT!A:A, DATA_BOLT!G:G, 0), 0)))</f>
      </c>
      <c r="M71" s="54">
        <v>103.01</v>
      </c>
      <c r="N71" s="54">
        <v>50</v>
      </c>
      <c r="O71" s="54">
        <v>0</v>
      </c>
      <c r="P71" s="54">
        <v>0</v>
      </c>
      <c r="Q71" s="54">
        <v>0</v>
      </c>
      <c r="R71" s="55">
        <v>53.01</v>
      </c>
      <c r="S71" s="18" t="s">
        <v>279</v>
      </c>
    </row>
    <row r="72" ht="28" customHeight="1" spans="1:19" x14ac:dyDescent="0.25">
      <c r="A72" s="8" t="s">
        <v>477</v>
      </c>
      <c r="B72" s="9" t="s">
        <v>478</v>
      </c>
      <c r="C72" s="10" t="s">
        <v>279</v>
      </c>
      <c r="D72" s="10" t="s">
        <v>478</v>
      </c>
      <c r="E72" s="47" t="s">
        <v>279</v>
      </c>
      <c r="F72" s="47" t="s">
        <v>479</v>
      </c>
      <c r="G72" s="48" t="s">
        <v>279</v>
      </c>
      <c r="H72" s="48" t="s">
        <v>480</v>
      </c>
      <c r="I72" s="49">
        <f>IF(B72="", "", IF(OR(C72="", C72="—"), 0, IFNA(XLOOKUP(C72, DATA_UBER!A:A, DATA_UBER!Z:Z, 0), 0)))</f>
      </c>
      <c r="J72" s="50">
        <f>IF(B72="", "", IF(OR(C72="", C72="—"), 0, IFNA(XLOOKUP(C72, DATA_UBER!A:A, DATA_UBER!J:J, 0), 0)))</f>
      </c>
      <c r="K72" s="49">
        <f>IF(B72="", "", IF(OR(D72="", D72="—"), 0, IFNA(XLOOKUP(D72, DATA_BOLT!A:A, DATA_BOLT!Z:Z, 0), 0)))</f>
      </c>
      <c r="L72" s="50">
        <f>IF(B72="", "", IF(OR(D72="", D72="—"), 0, IFNA(XLOOKUP(D72, DATA_BOLT!A:A, DATA_BOLT!G:G, 0), 0)))</f>
      </c>
      <c r="M72" s="49">
        <f>IF(B72="", "", I72 + K72)</f>
      </c>
      <c r="N72" s="49">
        <f>IF(B72="", "", IF(OR(I72&lt;&gt;0, K72&lt;&gt;0, J72&lt;&gt;0, L72&lt;&gt;0), IFNA(XLOOKUP(B72, ANNUAIRE_FLOTTE!B:B, ANNUAIRE_FLOTTE!J:J, 50), 50), 0))</f>
      </c>
      <c r="O72" s="49">
        <v>0</v>
      </c>
      <c r="P72" s="49">
        <v>0</v>
      </c>
      <c r="Q72" s="49">
        <v>0</v>
      </c>
      <c r="R72" s="57">
        <f>IF(B72="", "", M72 - N72 - O72 - Q72 + P72)</f>
      </c>
      <c r="S72" s="12" t="s">
        <v>279</v>
      </c>
    </row>
    <row r="73" ht="28" customHeight="1" spans="1:19" x14ac:dyDescent="0.25">
      <c r="A73" s="14" t="s">
        <v>481</v>
      </c>
      <c r="B73" s="15" t="s">
        <v>79</v>
      </c>
      <c r="C73" s="16" t="s">
        <v>79</v>
      </c>
      <c r="D73" s="16" t="s">
        <v>79</v>
      </c>
      <c r="E73" s="52" t="s">
        <v>256</v>
      </c>
      <c r="F73" s="52" t="s">
        <v>256</v>
      </c>
      <c r="G73" s="53" t="s">
        <v>257</v>
      </c>
      <c r="H73" s="53" t="s">
        <v>257</v>
      </c>
      <c r="I73" s="54">
        <v>21.03</v>
      </c>
      <c r="J73" s="50">
        <f>IF(B73="", "", IF(OR(C73="", C73="—"), 0, IFNA(XLOOKUP(C73, DATA_UBER!A:A, DATA_UBER!J:J, 0), 0)))</f>
      </c>
      <c r="K73" s="54">
        <v>104.68</v>
      </c>
      <c r="L73" s="50">
        <v>54</v>
      </c>
      <c r="M73" s="54">
        <v>125.71</v>
      </c>
      <c r="N73" s="54">
        <v>50</v>
      </c>
      <c r="O73" s="54">
        <v>0</v>
      </c>
      <c r="P73" s="54">
        <v>0</v>
      </c>
      <c r="Q73" s="54">
        <v>0</v>
      </c>
      <c r="R73" s="55">
        <v>75.71</v>
      </c>
      <c r="S73" s="18" t="s">
        <v>279</v>
      </c>
    </row>
    <row r="74" ht="28" customHeight="1" spans="1:19" x14ac:dyDescent="0.25">
      <c r="A74" s="8" t="s">
        <v>482</v>
      </c>
      <c r="B74" s="9" t="s">
        <v>483</v>
      </c>
      <c r="C74" s="10" t="s">
        <v>94</v>
      </c>
      <c r="D74" s="10" t="s">
        <v>279</v>
      </c>
      <c r="E74" s="47" t="s">
        <v>484</v>
      </c>
      <c r="F74" s="47" t="s">
        <v>279</v>
      </c>
      <c r="G74" s="48" t="s">
        <v>485</v>
      </c>
      <c r="H74" s="48" t="s">
        <v>279</v>
      </c>
      <c r="I74" s="49">
        <v>103.3</v>
      </c>
      <c r="J74" s="50">
        <f>IF(B74="", "", IF(OR(C74="", C74="—"), 0, IFNA(XLOOKUP(C74, DATA_UBER!A:A, DATA_UBER!J:J, 0), 0)))</f>
      </c>
      <c r="K74" s="49">
        <f>IF(B74="", "", IF(OR(D74="", D74="—"), 0, IFNA(XLOOKUP(D74, DATA_BOLT!A:A, DATA_BOLT!Z:Z, 0), 0)))</f>
      </c>
      <c r="L74" s="50">
        <f>IF(B74="", "", IF(OR(D74="", D74="—"), 0, IFNA(XLOOKUP(D74, DATA_BOLT!A:A, DATA_BOLT!G:G, 0), 0)))</f>
      </c>
      <c r="M74" s="49">
        <v>103.3</v>
      </c>
      <c r="N74" s="49">
        <v>50</v>
      </c>
      <c r="O74" s="49">
        <v>0</v>
      </c>
      <c r="P74" s="49">
        <v>0</v>
      </c>
      <c r="Q74" s="49">
        <v>0</v>
      </c>
      <c r="R74" s="55">
        <v>53.3</v>
      </c>
      <c r="S74" s="12" t="s">
        <v>279</v>
      </c>
    </row>
    <row r="75" ht="28" customHeight="1" spans="1:19" x14ac:dyDescent="0.25">
      <c r="A75" s="14" t="s">
        <v>486</v>
      </c>
      <c r="B75" s="15" t="s">
        <v>263</v>
      </c>
      <c r="C75" s="16" t="s">
        <v>40</v>
      </c>
      <c r="D75" s="16" t="s">
        <v>263</v>
      </c>
      <c r="E75" s="52" t="s">
        <v>487</v>
      </c>
      <c r="F75" s="52" t="s">
        <v>264</v>
      </c>
      <c r="G75" s="53" t="s">
        <v>265</v>
      </c>
      <c r="H75" s="53" t="s">
        <v>265</v>
      </c>
      <c r="I75" s="54">
        <v>59</v>
      </c>
      <c r="J75" s="50">
        <f>IF(B75="", "", IF(OR(C75="", C75="—"), 0, IFNA(XLOOKUP(C75, DATA_UBER!A:A, DATA_UBER!J:J, 0), 0)))</f>
      </c>
      <c r="K75" s="54">
        <v>649.12</v>
      </c>
      <c r="L75" s="50">
        <f>IF(B75="", "", IF(OR(D75="", D75="—"), 0, IFNA(XLOOKUP(D75, DATA_BOLT!A:A, DATA_BOLT!G:G, 0), 0)))</f>
      </c>
      <c r="M75" s="54">
        <v>708.12</v>
      </c>
      <c r="N75" s="54">
        <v>50</v>
      </c>
      <c r="O75" s="54">
        <v>0</v>
      </c>
      <c r="P75" s="54">
        <v>0</v>
      </c>
      <c r="Q75" s="54">
        <v>0</v>
      </c>
      <c r="R75" s="55">
        <v>658.12</v>
      </c>
      <c r="S75" s="18" t="s">
        <v>279</v>
      </c>
    </row>
    <row r="76" ht="28" customHeight="1" spans="1:19" x14ac:dyDescent="0.25">
      <c r="A76" s="8" t="s">
        <v>488</v>
      </c>
      <c r="B76" s="9" t="s">
        <v>148</v>
      </c>
      <c r="C76" s="10" t="s">
        <v>148</v>
      </c>
      <c r="D76" s="10" t="s">
        <v>148</v>
      </c>
      <c r="E76" s="47" t="s">
        <v>149</v>
      </c>
      <c r="F76" s="47" t="s">
        <v>149</v>
      </c>
      <c r="G76" s="48" t="s">
        <v>150</v>
      </c>
      <c r="H76" s="48" t="s">
        <v>150</v>
      </c>
      <c r="I76" s="49">
        <f>IF(B76="", "", IF(OR(C76="", C76="—"), 0, IFNA(XLOOKUP(C76, DATA_UBER!A:A, DATA_UBER!Z:Z, 0), 0)))</f>
      </c>
      <c r="J76" s="50">
        <f>IF(B76="", "", IF(OR(C76="", C76="—"), 0, IFNA(XLOOKUP(C76, DATA_UBER!A:A, DATA_UBER!J:J, 0), 0)))</f>
      </c>
      <c r="K76" s="49">
        <v>268.03</v>
      </c>
      <c r="L76" s="50">
        <f>IF(B76="", "", IF(OR(D76="", D76="—"), 0, IFNA(XLOOKUP(D76, DATA_BOLT!A:A, DATA_BOLT!G:G, 0), 0)))</f>
      </c>
      <c r="M76" s="49">
        <v>268.03</v>
      </c>
      <c r="N76" s="49">
        <v>40</v>
      </c>
      <c r="O76" s="49">
        <v>0</v>
      </c>
      <c r="P76" s="49">
        <v>0</v>
      </c>
      <c r="Q76" s="49">
        <v>0</v>
      </c>
      <c r="R76" s="55">
        <v>228.03</v>
      </c>
      <c r="S76" s="12" t="s">
        <v>279</v>
      </c>
    </row>
    <row r="77" ht="28" customHeight="1" spans="1:19" x14ac:dyDescent="0.25">
      <c r="A77" s="14" t="s">
        <v>489</v>
      </c>
      <c r="B77" s="15" t="s">
        <v>490</v>
      </c>
      <c r="C77" s="16" t="s">
        <v>490</v>
      </c>
      <c r="D77" s="16" t="s">
        <v>491</v>
      </c>
      <c r="E77" s="52" t="s">
        <v>492</v>
      </c>
      <c r="F77" s="52" t="s">
        <v>493</v>
      </c>
      <c r="G77" s="53" t="s">
        <v>494</v>
      </c>
      <c r="H77" s="53" t="s">
        <v>494</v>
      </c>
      <c r="I77" s="54">
        <f>IF(B77="", "", IF(OR(C77="", C77="—"), 0, IFNA(XLOOKUP(C77, DATA_UBER!A:A, DATA_UBER!Z:Z, 0), 0)))</f>
      </c>
      <c r="J77" s="50">
        <f>IF(B77="", "", IF(OR(C77="", C77="—"), 0, IFNA(XLOOKUP(C77, DATA_UBER!A:A, DATA_UBER!J:J, 0), 0)))</f>
      </c>
      <c r="K77" s="54">
        <f>IF(B77="", "", IF(OR(D77="", D77="—"), 0, IFNA(XLOOKUP(D77, DATA_BOLT!A:A, DATA_BOLT!Z:Z, 0), 0)))</f>
      </c>
      <c r="L77" s="50">
        <f>IF(B77="", "", IF(OR(D77="", D77="—"), 0, IFNA(XLOOKUP(D77, DATA_BOLT!A:A, DATA_BOLT!G:G, 0), 0)))</f>
      </c>
      <c r="M77" s="54">
        <f>IF(B77="", "", I77 + K77)</f>
      </c>
      <c r="N77" s="54">
        <f>IF(B77="", "", IF(OR(I77&lt;&gt;0, K77&lt;&gt;0, J77&lt;&gt;0, L77&lt;&gt;0), IFNA(XLOOKUP(B77, ANNUAIRE_FLOTTE!B:B, ANNUAIRE_FLOTTE!J:J, 50), 50), 0))</f>
      </c>
      <c r="O77" s="54">
        <v>0</v>
      </c>
      <c r="P77" s="54">
        <v>0</v>
      </c>
      <c r="Q77" s="54">
        <v>0</v>
      </c>
      <c r="R77" s="56">
        <f>IF(B77="", "", M77 - N77 - O77 - Q77 + P77)</f>
      </c>
      <c r="S77" s="18" t="s">
        <v>279</v>
      </c>
    </row>
    <row r="78" ht="28" customHeight="1" spans="1:19" x14ac:dyDescent="0.25">
      <c r="A78" s="8" t="s">
        <v>495</v>
      </c>
      <c r="B78" s="9" t="s">
        <v>496</v>
      </c>
      <c r="C78" s="10" t="s">
        <v>496</v>
      </c>
      <c r="D78" s="10" t="s">
        <v>496</v>
      </c>
      <c r="E78" s="47" t="s">
        <v>497</v>
      </c>
      <c r="F78" s="47" t="s">
        <v>498</v>
      </c>
      <c r="G78" s="48" t="s">
        <v>499</v>
      </c>
      <c r="H78" s="48" t="s">
        <v>500</v>
      </c>
      <c r="I78" s="49">
        <f>IF(B78="", "", IF(OR(C78="", C78="—"), 0, IFNA(XLOOKUP(C78, DATA_UBER!A:A, DATA_UBER!Z:Z, 0), 0)))</f>
      </c>
      <c r="J78" s="50">
        <f>IF(B78="", "", IF(OR(C78="", C78="—"), 0, IFNA(XLOOKUP(C78, DATA_UBER!A:A, DATA_UBER!J:J, 0), 0)))</f>
      </c>
      <c r="K78" s="49">
        <f>IF(B78="", "", IF(OR(D78="", D78="—"), 0, IFNA(XLOOKUP(D78, DATA_BOLT!A:A, DATA_BOLT!Z:Z, 0), 0)))</f>
      </c>
      <c r="L78" s="50">
        <f>IF(B78="", "", IF(OR(D78="", D78="—"), 0, IFNA(XLOOKUP(D78, DATA_BOLT!A:A, DATA_BOLT!G:G, 0), 0)))</f>
      </c>
      <c r="M78" s="49">
        <f>IF(B78="", "", I78 + K78)</f>
      </c>
      <c r="N78" s="49">
        <f>IF(B78="", "", IF(OR(I78&lt;&gt;0, K78&lt;&gt;0, J78&lt;&gt;0, L78&lt;&gt;0), IFNA(XLOOKUP(B78, ANNUAIRE_FLOTTE!B:B, ANNUAIRE_FLOTTE!J:J, 50), 50), 0))</f>
      </c>
      <c r="O78" s="49">
        <v>0</v>
      </c>
      <c r="P78" s="49">
        <v>0</v>
      </c>
      <c r="Q78" s="49">
        <v>0</v>
      </c>
      <c r="R78" s="57">
        <f>IF(B78="", "", M78 - N78 - O78 - Q78 + P78)</f>
      </c>
      <c r="S78" s="12" t="s">
        <v>279</v>
      </c>
    </row>
    <row r="79" ht="28" customHeight="1" spans="1:19" x14ac:dyDescent="0.25">
      <c r="A79" s="14" t="s">
        <v>501</v>
      </c>
      <c r="B79" s="14"/>
      <c r="C79" s="14"/>
      <c r="D79" s="14"/>
      <c r="E79" s="14"/>
      <c r="F79" s="14"/>
      <c r="G79" s="14"/>
      <c r="H79" s="14"/>
      <c r="I79" s="54">
        <f>IF(B79="", "", IF(OR(C79="", C79="—"), 0, IFNA(XLOOKUP(C79, DATA_UBER!A:A, DATA_UBER!Z:Z, 0), 0)))</f>
      </c>
      <c r="J79" s="50">
        <f>IF(B79="", "", IF(OR(C79="", C79="—"), 0, IFNA(XLOOKUP(C79, DATA_UBER!A:A, DATA_UBER!J:J, 0), 0)))</f>
      </c>
      <c r="K79" s="54">
        <f>IF(B79="", "", IF(OR(D79="", D79="—"), 0, IFNA(XLOOKUP(D79, DATA_BOLT!A:A, DATA_BOLT!Z:Z, 0), 0)))</f>
      </c>
      <c r="L79" s="50">
        <f>IF(B79="", "", IF(OR(D79="", D79="—"), 0, IFNA(XLOOKUP(D79, DATA_BOLT!A:A, DATA_BOLT!G:G, 0), 0)))</f>
      </c>
      <c r="M79" s="54">
        <f>IF(B79="", "", I79 + K79)</f>
      </c>
      <c r="N79" s="54">
        <f>IF(B79="", "", IF(OR(I79&lt;&gt;0, K79&lt;&gt;0, J79&lt;&gt;0, L79&lt;&gt;0), IFNA(XLOOKUP(B79, ANNUAIRE_FLOTTE!B:B, ANNUAIRE_FLOTTE!J:J, 50), 50), 0))</f>
      </c>
      <c r="O79" s="54">
        <v>0</v>
      </c>
      <c r="P79" s="54">
        <v>0</v>
      </c>
      <c r="Q79" s="54">
        <v>0</v>
      </c>
      <c r="R79" s="56">
        <f>IF(B79="", "", M79 - N79 - O79 - Q79 + P79)</f>
      </c>
      <c r="S79" s="18" t="s">
        <v>279</v>
      </c>
    </row>
  </sheetData>
  <mergeCells count="17">
    <mergeCell ref="B1:S1"/>
    <mergeCell ref="B2:S2"/>
    <mergeCell ref="B4:D4"/>
    <mergeCell ref="F4:H4"/>
    <mergeCell ref="J4:L4"/>
    <mergeCell ref="N4:P4"/>
    <mergeCell ref="B5:D5"/>
    <mergeCell ref="F5:H5"/>
    <mergeCell ref="J5:L5"/>
    <mergeCell ref="N5:P5"/>
    <mergeCell ref="A8:B8"/>
    <mergeCell ref="C8:D8"/>
    <mergeCell ref="E8:H8"/>
    <mergeCell ref="I8:J8"/>
    <mergeCell ref="K8:L8"/>
    <mergeCell ref="N8:Q8"/>
    <mergeCell ref="A79:H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DATA_UBER</vt:lpstr>
      <vt:lpstr>DATA_BOLT</vt:lpstr>
      <vt:lpstr>ANNUAIRE_FLOTTE</vt:lpstr>
      <vt:lpstr>DASHBOARD_SEMAINE</vt:lpstr>
      <vt:lpstr>EXPORT_QONTO</vt:lpstr>
      <vt:lpstr>📁 S39 (21 au 27 Sept)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 OS — Ingénierie Financière &amp; Conciliation VTC</dc:creator>
  <dc:title/>
  <dc:subject/>
  <dc:description/>
  <cp:keywords/>
  <cp:category/>
  <cp:lastModifiedBy>FLEET OS Engine</cp:lastModifiedBy>
  <dcterms:created xsi:type="dcterms:W3CDTF">2026-10-19T16:44:34Z</dcterms:created>
  <dcterms:modified xsi:type="dcterms:W3CDTF">2026-10-19T16:44:34Z</dcterms:modified>
</cp:coreProperties>
</file>